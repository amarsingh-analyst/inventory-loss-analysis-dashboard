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hidePivotFieldList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I6" i="3" l="1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G6" i="3" l="1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I6" i="2"/>
  <c r="J6" i="2"/>
  <c r="C34" i="3" l="1"/>
  <c r="C35" i="3"/>
  <c r="C36" i="3"/>
  <c r="C37" i="3"/>
  <c r="C38" i="3"/>
  <c r="C39" i="3"/>
  <c r="D34" i="3"/>
  <c r="D35" i="3"/>
  <c r="F35" i="3" s="1"/>
  <c r="H35" i="3" s="1"/>
  <c r="D36" i="3"/>
  <c r="D37" i="3"/>
  <c r="D38" i="3"/>
  <c r="D39" i="3"/>
  <c r="D6" i="3"/>
  <c r="D7" i="3"/>
  <c r="D8" i="3"/>
  <c r="D9" i="3"/>
  <c r="F9" i="3" s="1"/>
  <c r="H9" i="3" s="1"/>
  <c r="D10" i="3"/>
  <c r="D11" i="3"/>
  <c r="D12" i="3"/>
  <c r="D13" i="3"/>
  <c r="D14" i="3"/>
  <c r="D15" i="3"/>
  <c r="D16" i="3"/>
  <c r="D17" i="3"/>
  <c r="F17" i="3" s="1"/>
  <c r="H17" i="3" s="1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F33" i="3" s="1"/>
  <c r="H33" i="3" s="1"/>
  <c r="C6" i="3"/>
  <c r="C7" i="3"/>
  <c r="C8" i="3"/>
  <c r="C9" i="3"/>
  <c r="C10" i="3"/>
  <c r="C11" i="3"/>
  <c r="C12" i="3"/>
  <c r="C13" i="3"/>
  <c r="E13" i="3" s="1"/>
  <c r="C14" i="3"/>
  <c r="C15" i="3"/>
  <c r="C16" i="3"/>
  <c r="C17" i="3"/>
  <c r="C18" i="3"/>
  <c r="C19" i="3"/>
  <c r="C20" i="3"/>
  <c r="C21" i="3"/>
  <c r="E21" i="3" s="1"/>
  <c r="C22" i="3"/>
  <c r="C23" i="3"/>
  <c r="C24" i="3"/>
  <c r="C25" i="3"/>
  <c r="C26" i="3"/>
  <c r="C27" i="3"/>
  <c r="C28" i="3"/>
  <c r="C29" i="3"/>
  <c r="E29" i="3" s="1"/>
  <c r="C30" i="3"/>
  <c r="C31" i="3"/>
  <c r="C32" i="3"/>
  <c r="C33" i="3"/>
  <c r="F34" i="3" l="1"/>
  <c r="H34" i="3" s="1"/>
  <c r="F38" i="3"/>
  <c r="H38" i="3" s="1"/>
  <c r="E25" i="3"/>
  <c r="E30" i="3"/>
  <c r="E22" i="3"/>
  <c r="E14" i="3"/>
  <c r="E6" i="3"/>
  <c r="E39" i="3"/>
  <c r="F25" i="3"/>
  <c r="H25" i="3" s="1"/>
  <c r="E24" i="3"/>
  <c r="E8" i="3"/>
  <c r="E35" i="3"/>
  <c r="E33" i="3"/>
  <c r="E17" i="3"/>
  <c r="E9" i="3"/>
  <c r="E32" i="3"/>
  <c r="E16" i="3"/>
  <c r="F37" i="3"/>
  <c r="H37" i="3" s="1"/>
  <c r="F26" i="3"/>
  <c r="H26" i="3" s="1"/>
  <c r="F18" i="3"/>
  <c r="H18" i="3" s="1"/>
  <c r="F10" i="3"/>
  <c r="H10" i="3" s="1"/>
  <c r="F36" i="3"/>
  <c r="H36" i="3" s="1"/>
  <c r="F32" i="3"/>
  <c r="H32" i="3" s="1"/>
  <c r="F24" i="3"/>
  <c r="H24" i="3" s="1"/>
  <c r="F16" i="3"/>
  <c r="H16" i="3" s="1"/>
  <c r="F8" i="3"/>
  <c r="H8" i="3" s="1"/>
  <c r="E27" i="3"/>
  <c r="E11" i="3"/>
  <c r="F15" i="3"/>
  <c r="H15" i="3" s="1"/>
  <c r="E19" i="3"/>
  <c r="F31" i="3"/>
  <c r="H31" i="3" s="1"/>
  <c r="F23" i="3"/>
  <c r="H23" i="3" s="1"/>
  <c r="F7" i="3"/>
  <c r="H7" i="3" s="1"/>
  <c r="F29" i="3"/>
  <c r="H29" i="3" s="1"/>
  <c r="F21" i="3"/>
  <c r="H21" i="3" s="1"/>
  <c r="F13" i="3"/>
  <c r="H13" i="3" s="1"/>
  <c r="F39" i="3"/>
  <c r="H39" i="3" s="1"/>
  <c r="F28" i="3"/>
  <c r="H28" i="3" s="1"/>
  <c r="F20" i="3"/>
  <c r="H20" i="3" s="1"/>
  <c r="F12" i="3"/>
  <c r="H12" i="3" s="1"/>
  <c r="F30" i="3"/>
  <c r="H30" i="3" s="1"/>
  <c r="F22" i="3"/>
  <c r="H22" i="3" s="1"/>
  <c r="F6" i="3"/>
  <c r="H6" i="3" s="1"/>
  <c r="E26" i="3"/>
  <c r="E18" i="3"/>
  <c r="E10" i="3"/>
  <c r="E38" i="3"/>
  <c r="F14" i="3"/>
  <c r="H14" i="3" s="1"/>
  <c r="E37" i="3"/>
  <c r="E36" i="3"/>
  <c r="F27" i="3"/>
  <c r="H27" i="3" s="1"/>
  <c r="F19" i="3"/>
  <c r="H19" i="3" s="1"/>
  <c r="F11" i="3"/>
  <c r="H11" i="3" s="1"/>
  <c r="E31" i="3"/>
  <c r="E23" i="3"/>
  <c r="E15" i="3"/>
  <c r="E7" i="3"/>
  <c r="E34" i="3"/>
  <c r="E28" i="3"/>
  <c r="E20" i="3"/>
  <c r="E12" i="3"/>
  <c r="B47" i="3" l="1"/>
  <c r="B45" i="3"/>
  <c r="B46" i="3"/>
  <c r="B44" i="3"/>
</calcChain>
</file>

<file path=xl/sharedStrings.xml><?xml version="1.0" encoding="utf-8"?>
<sst xmlns="http://schemas.openxmlformats.org/spreadsheetml/2006/main" count="252" uniqueCount="128">
  <si>
    <t>JDPV CODE</t>
  </si>
  <si>
    <t>SAPCODE</t>
  </si>
  <si>
    <t>PTS CODE</t>
  </si>
  <si>
    <t>BIN LOCATION</t>
  </si>
  <si>
    <t>QUNT(NEED)</t>
  </si>
  <si>
    <t>REMARK</t>
  </si>
  <si>
    <t>SUPERVISOUR</t>
  </si>
  <si>
    <t>FOUNDED</t>
  </si>
  <si>
    <t xml:space="preserve">TRACK SAP </t>
  </si>
  <si>
    <t xml:space="preserve">TRACK PTS </t>
  </si>
  <si>
    <t>MATCHED MATERIAL</t>
  </si>
  <si>
    <t>2000262034-16''</t>
  </si>
  <si>
    <t>2000303221-5''</t>
  </si>
  <si>
    <t>2001512954-?</t>
  </si>
  <si>
    <t>DY05-D-11-0</t>
  </si>
  <si>
    <t>HYDRA REQURIED DY07-E02-0</t>
  </si>
  <si>
    <t xml:space="preserve">AMAR </t>
  </si>
  <si>
    <t xml:space="preserve">KALPESH </t>
  </si>
  <si>
    <t xml:space="preserve">RAKESH </t>
  </si>
  <si>
    <t>KANTI</t>
  </si>
  <si>
    <t>N/A</t>
  </si>
  <si>
    <t>BIN LOCATION/ YARD</t>
  </si>
  <si>
    <t>QUNT(FOUNDED)</t>
  </si>
  <si>
    <t>2485739012-16''</t>
  </si>
  <si>
    <t>QWDL92K1-8''</t>
  </si>
  <si>
    <t>8247619053-11''</t>
  </si>
  <si>
    <t>LMNO45D2-12''</t>
  </si>
  <si>
    <t>4182765093-7''</t>
  </si>
  <si>
    <t>RTYU12K9-4''</t>
  </si>
  <si>
    <t>GHJK77L2-10''</t>
  </si>
  <si>
    <t>2841736905-10''</t>
  </si>
  <si>
    <t>ZXCV11M7-5''</t>
  </si>
  <si>
    <t>8652147039-12''</t>
  </si>
  <si>
    <t>4826037195-15''</t>
  </si>
  <si>
    <t>MNBV66F1-13''</t>
  </si>
  <si>
    <t>WSXC44K7-7''</t>
  </si>
  <si>
    <t>8617425093-11''</t>
  </si>
  <si>
    <t>RFVT87M3-9''</t>
  </si>
  <si>
    <t>4809273516-14''</t>
  </si>
  <si>
    <t>YHNU34D8-3''</t>
  </si>
  <si>
    <t>2845097316-10''</t>
  </si>
  <si>
    <t>IKOL45P9-5''</t>
  </si>
  <si>
    <t>8620457139-13''</t>
  </si>
  <si>
    <t>ZMNB98F4-2''</t>
  </si>
  <si>
    <t>4827169053-12''</t>
  </si>
  <si>
    <t>ASZX64L9-7''</t>
  </si>
  <si>
    <t>2846197350-9''</t>
  </si>
  <si>
    <t>TYUI88P2-6''</t>
  </si>
  <si>
    <t>8631742095-11''</t>
  </si>
  <si>
    <t>XXXXXXXX-10''</t>
  </si>
  <si>
    <t>XXXXXXXX-6''</t>
  </si>
  <si>
    <t>XXXXXXXX-8''</t>
  </si>
  <si>
    <t>XXXXXXX-3''</t>
  </si>
  <si>
    <t>DY07-A-04-0</t>
  </si>
  <si>
    <t>DY06-C-08-0</t>
  </si>
  <si>
    <t>DY08-B-02-0</t>
  </si>
  <si>
    <t>DY019-E-07-0</t>
  </si>
  <si>
    <t>DY36-A-09-0</t>
  </si>
  <si>
    <t>DY19-D-03-0</t>
  </si>
  <si>
    <t>DY01-B-06-0</t>
  </si>
  <si>
    <t>DY07-C-10-0</t>
  </si>
  <si>
    <t>DY05-A-01-0</t>
  </si>
  <si>
    <t>DY06-D-12-0</t>
  </si>
  <si>
    <t>DY08-E-05-0</t>
  </si>
  <si>
    <t>DY019-B-11-0</t>
  </si>
  <si>
    <t>DY36-C-04-0</t>
  </si>
  <si>
    <t>DY19-A-08-0</t>
  </si>
  <si>
    <t>DY01-D-02-0</t>
  </si>
  <si>
    <t>DY07-E-06-0</t>
  </si>
  <si>
    <t>DY05-B-09-0</t>
  </si>
  <si>
    <t>DY06-A-03-0</t>
  </si>
  <si>
    <t>DY08-D-07-0</t>
  </si>
  <si>
    <t>DY019-C-10-0</t>
  </si>
  <si>
    <t>DY36-B-01-0</t>
  </si>
  <si>
    <t>DY19-E-12-0</t>
  </si>
  <si>
    <t>DY01-C-05-0</t>
  </si>
  <si>
    <t>DY07-D-08-0</t>
  </si>
  <si>
    <t>DY05-E-02-0</t>
  </si>
  <si>
    <t>DY06-B-11-0</t>
  </si>
  <si>
    <t>DY08-A-06-0</t>
  </si>
  <si>
    <t>DY019-D-04-0</t>
  </si>
  <si>
    <t>DY36-E-07-0</t>
  </si>
  <si>
    <t>DY19-C-09-0</t>
  </si>
  <si>
    <t>DY01-A-03-0</t>
  </si>
  <si>
    <t>DY07-B-12-0</t>
  </si>
  <si>
    <t>DY05-C-06-0</t>
  </si>
  <si>
    <t xml:space="preserve">                           LC1 NOT FOUND MATERIAL DY05-06-DY07-DY01-DY10-DY36-DY19</t>
  </si>
  <si>
    <t xml:space="preserve">                                     ROW UNSTURCHED DATA DY05-06-DY07-DY01-DY10-DY36-DY19</t>
  </si>
  <si>
    <t>2000262034-12''</t>
  </si>
  <si>
    <t>QWDL92K1-6''</t>
  </si>
  <si>
    <t>2001512954-7''</t>
  </si>
  <si>
    <t>LMNO45D2-9''</t>
  </si>
  <si>
    <t>8625930174-13''</t>
  </si>
  <si>
    <t>ABCL88F6-8''</t>
  </si>
  <si>
    <t>TYUI33P8-3''</t>
  </si>
  <si>
    <t>POIU78H2-5''</t>
  </si>
  <si>
    <t>BNML22K4-6''</t>
  </si>
  <si>
    <t>ZXCV11M7-4''</t>
  </si>
  <si>
    <t>LKJH55D9-7''</t>
  </si>
  <si>
    <t>8239507164-8''</t>
  </si>
  <si>
    <t>QAZX99L8-2''</t>
  </si>
  <si>
    <t>2489073516-3''</t>
  </si>
  <si>
    <t>8241905376-6''</t>
  </si>
  <si>
    <t>TGBY65L2-12''</t>
  </si>
  <si>
    <t>2483610975-5''</t>
  </si>
  <si>
    <t>UJMI76K1-6''</t>
  </si>
  <si>
    <t>4172936508-8''</t>
  </si>
  <si>
    <t>OPLK21D7-11''</t>
  </si>
  <si>
    <t>ASZX64L9-8''</t>
  </si>
  <si>
    <t>MATCHED</t>
  </si>
  <si>
    <t>SAP_Code</t>
  </si>
  <si>
    <t>Bin_Location</t>
  </si>
  <si>
    <t>Expected_Qty</t>
  </si>
  <si>
    <t>Found_Qty</t>
  </si>
  <si>
    <t>Missing_Qty</t>
  </si>
  <si>
    <t>Status</t>
  </si>
  <si>
    <t>Location_Status</t>
  </si>
  <si>
    <t>Total Missing</t>
  </si>
  <si>
    <t>Total Extra</t>
  </si>
  <si>
    <t>Total Short</t>
  </si>
  <si>
    <t>Total Matched</t>
  </si>
  <si>
    <t>SUMMURY</t>
  </si>
  <si>
    <t>Missing</t>
  </si>
  <si>
    <t>Issue_Type</t>
  </si>
  <si>
    <t>Most Critical Issue</t>
  </si>
  <si>
    <t xml:space="preserve">Total Problem Records </t>
  </si>
  <si>
    <t>Yard</t>
  </si>
  <si>
    <t xml:space="preserve">                                         Final_Analysis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</si>
</sst>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Algerian"/>
      <family val="5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NumberForma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5" borderId="7" xfId="0" applyFont="1" applyFill="1" applyBorder="1"/>
    <xf numFmtId="0" fontId="6" fillId="4" borderId="3" xfId="0" applyFont="1" applyFill="1" applyBorder="1"/>
    <xf numFmtId="0" fontId="6" fillId="0" borderId="4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Border="1" applyAlignment="1">
      <alignment horizontal="left"/>
    </xf>
    <xf numFmtId="0" fontId="4" fillId="0" borderId="0" xfId="0" applyFont="1" applyAlignment="1">
      <alignment horizontal="left"/>
    </xf>
    <xf numFmtId="0" fontId="7" fillId="0" borderId="9" xfId="0" applyFont="1" applyBorder="1" applyAlignment="1">
      <alignment horizontal="center"/>
    </xf>
  </cellXfs>
  <cellStyles count="1">
    <cellStyle name="Normal" xfId="0" builtinId="0"/>
  </cellStyles>
  <dxfs count="29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i="1">
                <a:latin typeface="Arial Black" panose="020B0A04020102090204" pitchFamily="34" charset="0"/>
              </a:rPr>
              <a:t>Inventory Issue Distribution</a:t>
            </a:r>
          </a:p>
        </c:rich>
      </c:tx>
      <c:layout>
        <c:manualLayout>
          <c:xMode val="edge"/>
          <c:yMode val="edge"/>
          <c:x val="0.24183188405797107"/>
          <c:y val="2.43531163519670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3333424626269544E-2"/>
          <c:y val="0.17767452028036126"/>
          <c:w val="0.93888888888888888"/>
          <c:h val="0.671457786526684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Sheet3!$A$44:$A$47</c:f>
              <c:strCache>
                <c:ptCount val="4"/>
                <c:pt idx="0">
                  <c:v>Total Missing</c:v>
                </c:pt>
                <c:pt idx="1">
                  <c:v>Total Extra</c:v>
                </c:pt>
                <c:pt idx="2">
                  <c:v>Total Short</c:v>
                </c:pt>
                <c:pt idx="3">
                  <c:v>Total Matched</c:v>
                </c:pt>
              </c:strCache>
            </c:strRef>
          </c:cat>
          <c:val>
            <c:numRef>
              <c:f>Sheet3!$B$44:$B$47</c:f>
              <c:numCache>
                <c:formatCode>General</c:formatCode>
                <c:ptCount val="4"/>
                <c:pt idx="0">
                  <c:v>16</c:v>
                </c:pt>
                <c:pt idx="1">
                  <c:v>7</c:v>
                </c:pt>
                <c:pt idx="2">
                  <c:v>9</c:v>
                </c:pt>
                <c:pt idx="3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723899</xdr:colOff>
      <xdr:row>40</xdr:row>
      <xdr:rowOff>52387</xdr:rowOff>
    </xdr:from>
    <xdr:to>
      <xdr:col>7</xdr:col>
      <xdr:colOff>1047749</xdr:colOff>
      <xdr:row>55</xdr:row>
      <xdr:rowOff>152400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5" name="Table5" displayName="Table5" ref="A5:G39" totalsRowShown="0" headerRowDxfId="28" headerRowBorderDxfId="27" tableBorderDxfId="26">
  <autoFilter ref="A5:G39"/>
  <tableColumns count="7">
    <tableColumn id="1" name="SAPCODE" dataDxfId="25"/>
    <tableColumn id="2" name="PTS CODE" dataDxfId="24"/>
    <tableColumn id="3" name="BIN LOCATION/ YARD" dataDxfId="23"/>
    <tableColumn id="4" name="QUNT(FOUNDED)"/>
    <tableColumn id="5" name="REMARK"/>
    <tableColumn id="6" name="JDPV CODE"/>
    <tableColumn id="7" name="MATCHED MATERI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5:K509" totalsRowShown="0" headerRowDxfId="22" dataDxfId="21">
  <autoFilter ref="A5:K509"/>
  <tableColumns count="11">
    <tableColumn id="1" name="JDPV CODE" dataDxfId="20"/>
    <tableColumn id="2" name="SAPCODE" dataDxfId="19"/>
    <tableColumn id="3" name="PTS CODE" dataDxfId="18"/>
    <tableColumn id="4" name="BIN LOCATION" dataDxfId="17"/>
    <tableColumn id="5" name="QUNT(NEED)" dataDxfId="16"/>
    <tableColumn id="6" name="REMARK" dataDxfId="15"/>
    <tableColumn id="7" name="SUPERVISOUR" dataDxfId="14"/>
    <tableColumn id="8" name="FOUNDED" dataDxfId="13"/>
    <tableColumn id="9" name="TRACK SAP " dataDxfId="12"/>
    <tableColumn id="10" name="TRACK PTS " dataDxfId="11"/>
    <tableColumn id="11" name="MATCHED MATERIAL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A5:I39" totalsRowShown="0" headerRowDxfId="9">
  <autoFilter ref="A5:I39"/>
  <tableColumns count="9">
    <tableColumn id="1" name="SAP_Code" dataDxfId="8"/>
    <tableColumn id="2" name="Bin_Location" dataDxfId="7"/>
    <tableColumn id="3" name="Expected_Qty" dataDxfId="6">
      <calculatedColumnFormula>IFERROR(VLOOKUP(A6,Sheet2!B:E,4,FALSE),0)</calculatedColumnFormula>
    </tableColumn>
    <tableColumn id="4" name="Found_Qty" dataDxfId="5">
      <calculatedColumnFormula>IFERROR(VLOOKUP(A6,Sheet1!A:D,4,FALSE),0)</calculatedColumnFormula>
    </tableColumn>
    <tableColumn id="5" name="Missing_Qty" dataDxfId="4">
      <calculatedColumnFormula>C6 - D6</calculatedColumnFormula>
    </tableColumn>
    <tableColumn id="6" name="Status" dataDxfId="3">
      <calculatedColumnFormula>IF(D6=C6,"Matched",
IF(D6=0,"Missing",
IF(D6&gt;C6,"Extra","Short")))</calculatedColumnFormula>
    </tableColumn>
    <tableColumn id="7" name="Location_Status" dataDxfId="2">
      <calculatedColumnFormula>IFERROR(IF(B6=VLOOKUP(A6,Sheet1!A:C,3,FALSE),"Correct Location","Misplaced"),"Not Found Data")</calculatedColumnFormula>
    </tableColumn>
    <tableColumn id="8" name="Issue_Type" dataDxfId="1">
      <calculatedColumnFormula>IF(F6="Missing","System Issue",
IF(F6="Extra","Excess Inventory",
IF(G6="Misplaced","Location Error","OK")))</calculatedColumnFormula>
    </tableColumn>
    <tableColumn id="10" name="Yard" dataDxfId="0">
      <calculatedColumnFormula>LEFT(B6,4)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tabSelected="1" zoomScale="85" zoomScaleNormal="85" workbookViewId="0">
      <selection activeCell="K17" sqref="K17"/>
    </sheetView>
  </sheetViews>
  <sheetFormatPr defaultRowHeight="14.4" x14ac:dyDescent="0.3"/>
  <cols>
    <col min="1" max="1" width="22.6640625" customWidth="1"/>
    <col min="2" max="2" width="19.88671875" customWidth="1"/>
    <col min="3" max="3" width="23.6640625" customWidth="1"/>
    <col min="4" max="4" width="18.88671875" customWidth="1"/>
    <col min="5" max="5" width="16.77734375" customWidth="1"/>
    <col min="6" max="6" width="15.6640625" customWidth="1"/>
    <col min="7" max="7" width="25.77734375" customWidth="1"/>
  </cols>
  <sheetData>
    <row r="1" spans="1:18" x14ac:dyDescent="0.3">
      <c r="A1" s="25" t="s">
        <v>87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x14ac:dyDescent="0.3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x14ac:dyDescent="0.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5" spans="1:18" x14ac:dyDescent="0.3">
      <c r="A5" s="22" t="s">
        <v>1</v>
      </c>
      <c r="B5" s="22" t="s">
        <v>2</v>
      </c>
      <c r="C5" s="22" t="s">
        <v>21</v>
      </c>
      <c r="D5" s="22" t="s">
        <v>22</v>
      </c>
      <c r="E5" s="22" t="s">
        <v>5</v>
      </c>
      <c r="F5" s="23" t="s">
        <v>0</v>
      </c>
      <c r="G5" s="24" t="s">
        <v>10</v>
      </c>
    </row>
    <row r="6" spans="1:18" x14ac:dyDescent="0.3">
      <c r="A6" s="3">
        <v>2000262034</v>
      </c>
      <c r="B6" s="3" t="s">
        <v>11</v>
      </c>
      <c r="C6" s="3" t="s">
        <v>53</v>
      </c>
      <c r="D6">
        <v>4</v>
      </c>
    </row>
    <row r="7" spans="1:18" x14ac:dyDescent="0.3">
      <c r="A7" s="4">
        <v>2000303221</v>
      </c>
      <c r="B7" s="4" t="s">
        <v>12</v>
      </c>
      <c r="C7" s="4" t="s">
        <v>14</v>
      </c>
      <c r="D7">
        <v>2</v>
      </c>
    </row>
    <row r="8" spans="1:18" x14ac:dyDescent="0.3">
      <c r="A8" s="3">
        <v>2001512954</v>
      </c>
      <c r="B8" s="3" t="s">
        <v>13</v>
      </c>
      <c r="C8" s="3" t="s">
        <v>54</v>
      </c>
      <c r="D8">
        <v>78</v>
      </c>
      <c r="F8">
        <v>4571</v>
      </c>
      <c r="G8" t="s">
        <v>109</v>
      </c>
    </row>
    <row r="9" spans="1:18" x14ac:dyDescent="0.3">
      <c r="A9" s="4">
        <v>2485739012</v>
      </c>
      <c r="B9" s="4" t="s">
        <v>23</v>
      </c>
      <c r="C9" s="4" t="s">
        <v>55</v>
      </c>
      <c r="D9">
        <v>24</v>
      </c>
    </row>
    <row r="10" spans="1:18" x14ac:dyDescent="0.3">
      <c r="A10" s="3">
        <v>2485739012</v>
      </c>
      <c r="B10" s="3" t="s">
        <v>24</v>
      </c>
      <c r="C10" s="3" t="s">
        <v>56</v>
      </c>
      <c r="D10">
        <v>55</v>
      </c>
    </row>
    <row r="11" spans="1:18" x14ac:dyDescent="0.3">
      <c r="A11" s="4">
        <v>8247619053</v>
      </c>
      <c r="B11" s="4" t="s">
        <v>25</v>
      </c>
      <c r="C11" s="4" t="s">
        <v>57</v>
      </c>
      <c r="D11">
        <v>2</v>
      </c>
    </row>
    <row r="12" spans="1:18" x14ac:dyDescent="0.3">
      <c r="A12" s="3"/>
      <c r="B12" s="3" t="s">
        <v>26</v>
      </c>
      <c r="C12" s="3" t="s">
        <v>58</v>
      </c>
      <c r="D12">
        <v>11</v>
      </c>
    </row>
    <row r="13" spans="1:18" x14ac:dyDescent="0.3">
      <c r="A13" s="4">
        <v>4182765093</v>
      </c>
      <c r="B13" s="4" t="s">
        <v>27</v>
      </c>
      <c r="C13" s="4" t="s">
        <v>59</v>
      </c>
      <c r="D13">
        <v>25</v>
      </c>
    </row>
    <row r="14" spans="1:18" x14ac:dyDescent="0.3">
      <c r="A14" s="3">
        <v>4182765093</v>
      </c>
      <c r="B14" s="3" t="s">
        <v>28</v>
      </c>
      <c r="C14" s="3" t="s">
        <v>60</v>
      </c>
      <c r="D14">
        <v>5</v>
      </c>
    </row>
    <row r="15" spans="1:18" x14ac:dyDescent="0.3">
      <c r="A15" s="4">
        <v>8625930174</v>
      </c>
      <c r="B15" s="4" t="s">
        <v>29</v>
      </c>
      <c r="C15" s="4" t="s">
        <v>61</v>
      </c>
      <c r="D15">
        <v>59</v>
      </c>
    </row>
    <row r="16" spans="1:18" x14ac:dyDescent="0.3">
      <c r="A16" s="4">
        <v>4809273516</v>
      </c>
      <c r="B16" s="4" t="s">
        <v>95</v>
      </c>
      <c r="C16" s="3" t="s">
        <v>62</v>
      </c>
      <c r="D16">
        <v>55</v>
      </c>
      <c r="G16" t="s">
        <v>109</v>
      </c>
    </row>
    <row r="17" spans="1:4" x14ac:dyDescent="0.3">
      <c r="A17" s="4"/>
      <c r="B17" s="4" t="s">
        <v>51</v>
      </c>
      <c r="C17" s="4" t="s">
        <v>63</v>
      </c>
      <c r="D17">
        <v>2</v>
      </c>
    </row>
    <row r="18" spans="1:4" x14ac:dyDescent="0.3">
      <c r="A18" s="3">
        <v>2841736905</v>
      </c>
      <c r="B18" s="3" t="s">
        <v>30</v>
      </c>
      <c r="C18" s="3" t="s">
        <v>64</v>
      </c>
      <c r="D18">
        <v>2</v>
      </c>
    </row>
    <row r="19" spans="1:4" x14ac:dyDescent="0.3">
      <c r="A19" s="4">
        <v>2841736905</v>
      </c>
      <c r="B19" s="4" t="s">
        <v>31</v>
      </c>
      <c r="C19" s="4" t="s">
        <v>65</v>
      </c>
      <c r="D19">
        <v>52</v>
      </c>
    </row>
    <row r="20" spans="1:4" x14ac:dyDescent="0.3">
      <c r="A20" s="3">
        <v>8652147039</v>
      </c>
      <c r="B20" s="3" t="s">
        <v>32</v>
      </c>
      <c r="C20" s="3" t="s">
        <v>66</v>
      </c>
      <c r="D20">
        <v>18</v>
      </c>
    </row>
    <row r="21" spans="1:4" x14ac:dyDescent="0.3">
      <c r="A21" s="4">
        <v>8652147039</v>
      </c>
      <c r="B21" s="4" t="s">
        <v>50</v>
      </c>
      <c r="C21" s="4" t="s">
        <v>67</v>
      </c>
      <c r="D21">
        <v>28</v>
      </c>
    </row>
    <row r="22" spans="1:4" x14ac:dyDescent="0.3">
      <c r="A22" s="3">
        <v>4826037195</v>
      </c>
      <c r="B22" s="3" t="s">
        <v>33</v>
      </c>
      <c r="C22" s="3" t="s">
        <v>68</v>
      </c>
      <c r="D22">
        <v>1</v>
      </c>
    </row>
    <row r="23" spans="1:4" x14ac:dyDescent="0.3">
      <c r="A23" s="4">
        <v>4825037195</v>
      </c>
      <c r="B23" s="4" t="s">
        <v>34</v>
      </c>
      <c r="C23" s="4" t="s">
        <v>69</v>
      </c>
      <c r="D23">
        <v>7</v>
      </c>
    </row>
    <row r="24" spans="1:4" x14ac:dyDescent="0.3">
      <c r="A24" s="3">
        <v>2847509132</v>
      </c>
      <c r="B24" s="3" t="s">
        <v>52</v>
      </c>
      <c r="C24" s="3" t="s">
        <v>70</v>
      </c>
      <c r="D24">
        <v>2</v>
      </c>
    </row>
    <row r="25" spans="1:4" x14ac:dyDescent="0.3">
      <c r="A25" s="4"/>
      <c r="B25" s="4" t="s">
        <v>35</v>
      </c>
      <c r="C25" s="4" t="s">
        <v>71</v>
      </c>
      <c r="D25">
        <v>1</v>
      </c>
    </row>
    <row r="26" spans="1:4" x14ac:dyDescent="0.3">
      <c r="A26" s="4">
        <v>4179602853</v>
      </c>
      <c r="B26" s="4" t="s">
        <v>100</v>
      </c>
      <c r="C26" s="3" t="s">
        <v>72</v>
      </c>
      <c r="D26">
        <v>91</v>
      </c>
    </row>
    <row r="27" spans="1:4" x14ac:dyDescent="0.3">
      <c r="A27" s="4">
        <v>8457425093</v>
      </c>
      <c r="B27" s="4" t="s">
        <v>37</v>
      </c>
      <c r="C27" s="4" t="s">
        <v>73</v>
      </c>
      <c r="D27">
        <v>711</v>
      </c>
    </row>
    <row r="28" spans="1:4" x14ac:dyDescent="0.3">
      <c r="A28" s="3">
        <v>4809273516</v>
      </c>
      <c r="B28" s="3" t="s">
        <v>38</v>
      </c>
      <c r="C28" s="3" t="s">
        <v>74</v>
      </c>
      <c r="D28">
        <v>8</v>
      </c>
    </row>
    <row r="29" spans="1:4" x14ac:dyDescent="0.3">
      <c r="A29" s="4"/>
      <c r="B29" s="4" t="s">
        <v>39</v>
      </c>
      <c r="C29" s="4" t="s">
        <v>75</v>
      </c>
      <c r="D29">
        <v>5</v>
      </c>
    </row>
    <row r="30" spans="1:4" x14ac:dyDescent="0.3">
      <c r="A30" s="3">
        <v>2845097316</v>
      </c>
      <c r="B30" s="3" t="s">
        <v>40</v>
      </c>
      <c r="C30" s="3" t="s">
        <v>76</v>
      </c>
      <c r="D30">
        <v>198</v>
      </c>
    </row>
    <row r="31" spans="1:4" x14ac:dyDescent="0.3">
      <c r="A31" s="4"/>
      <c r="B31" s="4" t="s">
        <v>41</v>
      </c>
      <c r="C31" s="4" t="s">
        <v>77</v>
      </c>
      <c r="D31">
        <v>1</v>
      </c>
    </row>
    <row r="32" spans="1:4" x14ac:dyDescent="0.3">
      <c r="A32" s="3">
        <v>8620457139</v>
      </c>
      <c r="B32" s="3" t="s">
        <v>42</v>
      </c>
      <c r="C32" s="3" t="s">
        <v>78</v>
      </c>
      <c r="D32">
        <v>618</v>
      </c>
    </row>
    <row r="33" spans="1:7" x14ac:dyDescent="0.3">
      <c r="A33" s="4"/>
      <c r="B33" s="4" t="s">
        <v>43</v>
      </c>
      <c r="C33" s="4" t="s">
        <v>79</v>
      </c>
      <c r="D33">
        <v>5</v>
      </c>
    </row>
    <row r="34" spans="1:7" x14ac:dyDescent="0.3">
      <c r="A34" s="3">
        <v>4827169053</v>
      </c>
      <c r="B34" s="3" t="s">
        <v>44</v>
      </c>
      <c r="C34" s="3" t="s">
        <v>80</v>
      </c>
      <c r="D34">
        <v>1</v>
      </c>
    </row>
    <row r="35" spans="1:7" x14ac:dyDescent="0.3">
      <c r="A35" s="4"/>
      <c r="B35" s="4" t="s">
        <v>45</v>
      </c>
      <c r="C35" s="4" t="s">
        <v>81</v>
      </c>
      <c r="D35">
        <v>89</v>
      </c>
    </row>
    <row r="36" spans="1:7" x14ac:dyDescent="0.3">
      <c r="A36" s="3">
        <v>2483610975</v>
      </c>
      <c r="B36" s="3" t="s">
        <v>104</v>
      </c>
      <c r="C36" s="3" t="s">
        <v>82</v>
      </c>
      <c r="D36">
        <v>4</v>
      </c>
      <c r="G36" t="s">
        <v>109</v>
      </c>
    </row>
    <row r="37" spans="1:7" x14ac:dyDescent="0.3">
      <c r="A37" s="4"/>
      <c r="B37" s="4" t="s">
        <v>47</v>
      </c>
      <c r="C37" s="4" t="s">
        <v>83</v>
      </c>
      <c r="D37">
        <v>56</v>
      </c>
    </row>
    <row r="38" spans="1:7" x14ac:dyDescent="0.3">
      <c r="A38" s="3">
        <v>8631742095</v>
      </c>
      <c r="B38" s="3" t="s">
        <v>48</v>
      </c>
      <c r="C38" s="3" t="s">
        <v>84</v>
      </c>
      <c r="D38">
        <v>2</v>
      </c>
    </row>
    <row r="39" spans="1:7" x14ac:dyDescent="0.3">
      <c r="A39" s="4">
        <v>8631742595</v>
      </c>
      <c r="B39" s="4" t="s">
        <v>49</v>
      </c>
      <c r="C39" s="4" t="s">
        <v>85</v>
      </c>
      <c r="D39">
        <v>59</v>
      </c>
    </row>
  </sheetData>
  <mergeCells count="1">
    <mergeCell ref="A1:R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9"/>
  <sheetViews>
    <sheetView zoomScale="82" zoomScaleNormal="82" workbookViewId="0">
      <selection activeCell="F30" sqref="F30"/>
    </sheetView>
  </sheetViews>
  <sheetFormatPr defaultRowHeight="14.4" x14ac:dyDescent="0.3"/>
  <cols>
    <col min="1" max="1" width="18.109375" style="2" customWidth="1"/>
    <col min="2" max="2" width="16.109375" style="2" customWidth="1"/>
    <col min="3" max="4" width="15.44140625" style="2" customWidth="1"/>
    <col min="5" max="5" width="20.21875" style="2" customWidth="1"/>
    <col min="6" max="6" width="26.5546875" style="2" customWidth="1"/>
    <col min="7" max="7" width="15" style="2" customWidth="1"/>
    <col min="8" max="8" width="15.5546875" style="2" customWidth="1"/>
    <col min="9" max="9" width="14.44140625" style="2" customWidth="1"/>
    <col min="10" max="10" width="16.109375" style="2" customWidth="1"/>
    <col min="11" max="11" width="20.6640625" style="2" customWidth="1"/>
    <col min="12" max="16384" width="8.88671875" style="2"/>
  </cols>
  <sheetData>
    <row r="1" spans="1:19" x14ac:dyDescent="0.3">
      <c r="A1" s="27" t="s">
        <v>86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2" spans="1:19" x14ac:dyDescent="0.3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</row>
    <row r="3" spans="1:19" x14ac:dyDescent="0.3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</row>
    <row r="5" spans="1:19" ht="17.399999999999999" customHeight="1" x14ac:dyDescent="0.3">
      <c r="A5" s="1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</row>
    <row r="6" spans="1:19" x14ac:dyDescent="0.3">
      <c r="A6" s="5">
        <v>4827</v>
      </c>
      <c r="B6" s="5">
        <v>2000262034</v>
      </c>
      <c r="C6" s="5" t="s">
        <v>88</v>
      </c>
      <c r="D6" s="5" t="s">
        <v>53</v>
      </c>
      <c r="E6" s="2">
        <v>5.8</v>
      </c>
      <c r="H6" s="2">
        <v>4</v>
      </c>
      <c r="I6" s="2" t="str">
        <f>IF(ISNA(VLOOKUP(B2,Sheet1!A:D,1,FALSE)),"",B2)</f>
        <v/>
      </c>
      <c r="J6" s="2" t="str">
        <f>IF(ISNA(VLOOKUP(C2,Sheet1!B:D,1,FALSE)),"",C2)</f>
        <v/>
      </c>
    </row>
    <row r="7" spans="1:19" x14ac:dyDescent="0.3">
      <c r="A7" s="5">
        <v>19365</v>
      </c>
      <c r="B7" s="5">
        <v>2000303221</v>
      </c>
      <c r="C7" s="5" t="s">
        <v>89</v>
      </c>
      <c r="D7" s="5" t="s">
        <v>14</v>
      </c>
      <c r="E7" s="2">
        <v>19.84</v>
      </c>
      <c r="F7" s="2" t="s">
        <v>15</v>
      </c>
      <c r="G7" s="2" t="s">
        <v>16</v>
      </c>
      <c r="H7" s="2">
        <v>18</v>
      </c>
      <c r="I7" s="2" t="s">
        <v>20</v>
      </c>
      <c r="J7" s="2" t="s">
        <v>20</v>
      </c>
    </row>
    <row r="8" spans="1:19" x14ac:dyDescent="0.3">
      <c r="A8" s="5">
        <v>8472</v>
      </c>
      <c r="B8" s="5">
        <v>2001512954</v>
      </c>
      <c r="C8" s="5" t="s">
        <v>90</v>
      </c>
      <c r="D8" s="5" t="s">
        <v>54</v>
      </c>
      <c r="E8" s="2">
        <v>25</v>
      </c>
      <c r="G8" s="2" t="s">
        <v>17</v>
      </c>
      <c r="H8" s="2">
        <v>4</v>
      </c>
      <c r="I8" s="2" t="s">
        <v>20</v>
      </c>
      <c r="J8" s="2" t="s">
        <v>20</v>
      </c>
    </row>
    <row r="9" spans="1:19" x14ac:dyDescent="0.3">
      <c r="A9" s="5">
        <v>50291</v>
      </c>
      <c r="B9" s="5">
        <v>2485739012</v>
      </c>
      <c r="C9" s="5" t="s">
        <v>91</v>
      </c>
      <c r="D9" s="5" t="s">
        <v>55</v>
      </c>
      <c r="E9" s="2">
        <v>3.2</v>
      </c>
      <c r="G9" s="2" t="s">
        <v>18</v>
      </c>
      <c r="H9" s="2">
        <v>3.2</v>
      </c>
      <c r="J9" s="5"/>
    </row>
    <row r="10" spans="1:19" x14ac:dyDescent="0.3">
      <c r="A10" s="5">
        <v>2648</v>
      </c>
      <c r="B10" s="5">
        <v>8247619053</v>
      </c>
      <c r="C10" s="5" t="s">
        <v>25</v>
      </c>
      <c r="D10" s="5" t="s">
        <v>56</v>
      </c>
      <c r="E10" s="2">
        <v>26</v>
      </c>
      <c r="G10" s="5" t="s">
        <v>16</v>
      </c>
      <c r="H10" s="2">
        <v>0</v>
      </c>
    </row>
    <row r="11" spans="1:19" x14ac:dyDescent="0.3">
      <c r="A11" s="5">
        <v>91837</v>
      </c>
      <c r="B11" s="5">
        <v>4182765093</v>
      </c>
      <c r="C11" s="5" t="s">
        <v>28</v>
      </c>
      <c r="D11" s="5" t="s">
        <v>57</v>
      </c>
      <c r="E11" s="2">
        <v>25</v>
      </c>
      <c r="G11" s="5" t="s">
        <v>16</v>
      </c>
      <c r="H11" s="2">
        <v>4</v>
      </c>
    </row>
    <row r="12" spans="1:19" x14ac:dyDescent="0.3">
      <c r="A12" s="5">
        <v>7405</v>
      </c>
      <c r="B12" s="5">
        <v>8625930174</v>
      </c>
      <c r="C12" s="5" t="s">
        <v>92</v>
      </c>
      <c r="D12" s="5" t="s">
        <v>58</v>
      </c>
      <c r="E12" s="2">
        <v>48</v>
      </c>
      <c r="G12" s="5" t="s">
        <v>18</v>
      </c>
      <c r="H12" s="2">
        <v>10</v>
      </c>
    </row>
    <row r="13" spans="1:19" x14ac:dyDescent="0.3">
      <c r="A13" s="5">
        <v>36192</v>
      </c>
      <c r="B13" s="5">
        <v>4802759136</v>
      </c>
      <c r="C13" s="5" t="s">
        <v>93</v>
      </c>
      <c r="D13" s="5" t="s">
        <v>59</v>
      </c>
      <c r="E13" s="2">
        <v>67</v>
      </c>
      <c r="G13" s="5" t="s">
        <v>16</v>
      </c>
      <c r="H13" s="2">
        <v>80</v>
      </c>
    </row>
    <row r="14" spans="1:19" x14ac:dyDescent="0.3">
      <c r="A14" s="5">
        <v>2850</v>
      </c>
      <c r="B14" s="5">
        <v>2841736905</v>
      </c>
      <c r="C14" s="5" t="s">
        <v>30</v>
      </c>
      <c r="D14" s="5" t="s">
        <v>60</v>
      </c>
      <c r="E14" s="2">
        <v>9</v>
      </c>
      <c r="G14" s="5" t="s">
        <v>17</v>
      </c>
      <c r="H14" s="2">
        <v>0</v>
      </c>
    </row>
    <row r="15" spans="1:19" x14ac:dyDescent="0.3">
      <c r="A15" s="5">
        <v>67341</v>
      </c>
      <c r="B15" s="5">
        <v>8652147039</v>
      </c>
      <c r="C15" s="5" t="s">
        <v>29</v>
      </c>
      <c r="D15" s="5" t="s">
        <v>61</v>
      </c>
      <c r="E15" s="2">
        <v>5</v>
      </c>
      <c r="G15" s="2" t="s">
        <v>19</v>
      </c>
      <c r="H15" s="2">
        <v>98</v>
      </c>
    </row>
    <row r="16" spans="1:19" x14ac:dyDescent="0.3">
      <c r="A16" s="5">
        <v>9042</v>
      </c>
      <c r="B16" s="5">
        <v>4826037195</v>
      </c>
      <c r="C16" s="5" t="s">
        <v>33</v>
      </c>
      <c r="D16" s="5" t="s">
        <v>62</v>
      </c>
      <c r="E16" s="2">
        <v>9</v>
      </c>
      <c r="G16" s="5" t="s">
        <v>16</v>
      </c>
      <c r="H16" s="2">
        <v>14</v>
      </c>
    </row>
    <row r="17" spans="1:10" x14ac:dyDescent="0.3">
      <c r="A17" s="5">
        <v>12857</v>
      </c>
      <c r="B17" s="5">
        <v>2847509132</v>
      </c>
      <c r="C17" s="5" t="s">
        <v>94</v>
      </c>
      <c r="D17" s="5" t="s">
        <v>63</v>
      </c>
      <c r="E17" s="2">
        <v>27</v>
      </c>
      <c r="G17" s="5" t="s">
        <v>18</v>
      </c>
      <c r="H17" s="2">
        <v>5</v>
      </c>
    </row>
    <row r="18" spans="1:10" x14ac:dyDescent="0.3">
      <c r="A18" s="5">
        <v>7603</v>
      </c>
      <c r="B18" s="5">
        <v>8617425093</v>
      </c>
      <c r="C18" s="5" t="s">
        <v>36</v>
      </c>
      <c r="D18" s="5" t="s">
        <v>64</v>
      </c>
      <c r="E18" s="2">
        <v>49</v>
      </c>
      <c r="G18" s="5" t="s">
        <v>17</v>
      </c>
      <c r="H18" s="2">
        <v>5</v>
      </c>
    </row>
    <row r="19" spans="1:10" x14ac:dyDescent="0.3">
      <c r="A19" s="5">
        <v>45928</v>
      </c>
      <c r="B19" s="5">
        <v>4809273516</v>
      </c>
      <c r="C19" s="5" t="s">
        <v>95</v>
      </c>
      <c r="D19" s="5" t="s">
        <v>65</v>
      </c>
      <c r="E19" s="2">
        <v>55</v>
      </c>
      <c r="G19" s="5" t="s">
        <v>16</v>
      </c>
      <c r="H19" s="2">
        <v>55</v>
      </c>
      <c r="I19" s="5">
        <v>4809273516</v>
      </c>
      <c r="J19" s="5" t="s">
        <v>95</v>
      </c>
    </row>
    <row r="20" spans="1:10" x14ac:dyDescent="0.3">
      <c r="A20" s="5">
        <v>3176</v>
      </c>
      <c r="B20" s="5">
        <v>2845097316</v>
      </c>
      <c r="C20" s="5" t="s">
        <v>40</v>
      </c>
      <c r="D20" s="5" t="s">
        <v>66</v>
      </c>
      <c r="E20" s="2">
        <v>25</v>
      </c>
      <c r="G20" s="5" t="s">
        <v>17</v>
      </c>
      <c r="H20" s="2">
        <v>40</v>
      </c>
    </row>
    <row r="21" spans="1:10" x14ac:dyDescent="0.3">
      <c r="A21" s="5">
        <v>84520</v>
      </c>
      <c r="B21" s="5">
        <v>8620457139</v>
      </c>
      <c r="C21" s="5" t="s">
        <v>96</v>
      </c>
      <c r="D21" s="5" t="s">
        <v>67</v>
      </c>
      <c r="E21" s="2">
        <v>225</v>
      </c>
      <c r="G21" s="5" t="s">
        <v>17</v>
      </c>
      <c r="H21" s="2">
        <v>4</v>
      </c>
      <c r="I21" s="5"/>
    </row>
    <row r="22" spans="1:10" x14ac:dyDescent="0.3">
      <c r="A22" s="5">
        <v>6924</v>
      </c>
      <c r="B22" s="5">
        <v>4827169053</v>
      </c>
      <c r="C22" s="5" t="s">
        <v>44</v>
      </c>
      <c r="D22" s="5" t="s">
        <v>68</v>
      </c>
      <c r="E22" s="2">
        <v>250</v>
      </c>
      <c r="G22" s="5" t="s">
        <v>19</v>
      </c>
      <c r="H22" s="2">
        <v>5</v>
      </c>
    </row>
    <row r="23" spans="1:10" x14ac:dyDescent="0.3">
      <c r="A23" s="5">
        <v>15083</v>
      </c>
      <c r="B23" s="5">
        <v>8243509716</v>
      </c>
      <c r="C23" s="5" t="s">
        <v>97</v>
      </c>
      <c r="D23" s="5" t="s">
        <v>69</v>
      </c>
      <c r="E23" s="2">
        <v>25</v>
      </c>
      <c r="G23" s="5" t="s">
        <v>16</v>
      </c>
      <c r="H23" s="2">
        <v>0</v>
      </c>
    </row>
    <row r="24" spans="1:10" x14ac:dyDescent="0.3">
      <c r="A24" s="5">
        <v>7381</v>
      </c>
      <c r="B24" s="5">
        <v>2846197350</v>
      </c>
      <c r="C24" s="5" t="s">
        <v>46</v>
      </c>
      <c r="D24" s="5" t="s">
        <v>70</v>
      </c>
      <c r="E24" s="2">
        <v>54</v>
      </c>
      <c r="G24" s="5" t="s">
        <v>16</v>
      </c>
      <c r="H24" s="2">
        <v>45</v>
      </c>
    </row>
    <row r="25" spans="1:10" x14ac:dyDescent="0.3">
      <c r="A25" s="5">
        <v>96425</v>
      </c>
      <c r="B25" s="5">
        <v>4189052736</v>
      </c>
      <c r="C25" s="5" t="s">
        <v>98</v>
      </c>
      <c r="D25" s="5" t="s">
        <v>71</v>
      </c>
      <c r="E25" s="2">
        <v>51</v>
      </c>
      <c r="G25" s="5" t="s">
        <v>18</v>
      </c>
      <c r="H25" s="2">
        <v>16</v>
      </c>
      <c r="I25" s="5">
        <v>4189052736</v>
      </c>
      <c r="J25" s="5" t="s">
        <v>98</v>
      </c>
    </row>
    <row r="26" spans="1:10" x14ac:dyDescent="0.3">
      <c r="A26" s="5">
        <v>2819</v>
      </c>
      <c r="B26" s="5">
        <v>8631742095</v>
      </c>
      <c r="C26" s="5" t="s">
        <v>48</v>
      </c>
      <c r="D26" s="5" t="s">
        <v>72</v>
      </c>
      <c r="E26" s="2">
        <v>21</v>
      </c>
      <c r="G26" s="5" t="s">
        <v>18</v>
      </c>
      <c r="H26" s="2">
        <v>70</v>
      </c>
    </row>
    <row r="27" spans="1:10" x14ac:dyDescent="0.3">
      <c r="A27" s="5">
        <v>50734</v>
      </c>
      <c r="B27" s="5">
        <v>2496810357</v>
      </c>
      <c r="C27" s="5" t="s">
        <v>34</v>
      </c>
      <c r="D27" s="5" t="s">
        <v>73</v>
      </c>
      <c r="E27" s="2">
        <v>15</v>
      </c>
      <c r="G27" s="5" t="s">
        <v>16</v>
      </c>
      <c r="H27" s="2">
        <v>4</v>
      </c>
    </row>
    <row r="28" spans="1:10" x14ac:dyDescent="0.3">
      <c r="A28" s="5">
        <v>4582</v>
      </c>
      <c r="B28" s="5">
        <v>8239507164</v>
      </c>
      <c r="C28" s="5" t="s">
        <v>99</v>
      </c>
      <c r="D28" s="5" t="s">
        <v>74</v>
      </c>
      <c r="E28" s="2">
        <v>36</v>
      </c>
      <c r="G28" s="5" t="s">
        <v>17</v>
      </c>
      <c r="H28" s="2">
        <v>42</v>
      </c>
      <c r="I28" s="5"/>
      <c r="J28" s="5"/>
    </row>
    <row r="29" spans="1:10" x14ac:dyDescent="0.3">
      <c r="A29" s="5">
        <v>19370</v>
      </c>
      <c r="B29" s="5">
        <v>4179602853</v>
      </c>
      <c r="C29" s="5" t="s">
        <v>100</v>
      </c>
      <c r="D29" s="5" t="s">
        <v>75</v>
      </c>
      <c r="E29" s="2">
        <v>22</v>
      </c>
      <c r="G29" s="5" t="s">
        <v>19</v>
      </c>
      <c r="H29" s="2">
        <v>10</v>
      </c>
    </row>
    <row r="30" spans="1:10" x14ac:dyDescent="0.3">
      <c r="A30" s="5">
        <v>6752</v>
      </c>
      <c r="B30" s="5">
        <v>2489073516</v>
      </c>
      <c r="C30" s="5" t="s">
        <v>101</v>
      </c>
      <c r="D30" s="5" t="s">
        <v>76</v>
      </c>
      <c r="E30" s="2">
        <v>55</v>
      </c>
      <c r="G30" s="5" t="s">
        <v>16</v>
      </c>
      <c r="H30" s="2">
        <v>85</v>
      </c>
    </row>
    <row r="31" spans="1:10" x14ac:dyDescent="0.3">
      <c r="A31" s="5">
        <v>82049</v>
      </c>
      <c r="B31" s="5">
        <v>4821903765</v>
      </c>
      <c r="C31" s="5" t="s">
        <v>37</v>
      </c>
      <c r="D31" s="5" t="s">
        <v>77</v>
      </c>
      <c r="E31" s="2">
        <v>35</v>
      </c>
      <c r="G31" s="5" t="s">
        <v>19</v>
      </c>
      <c r="H31" s="2">
        <v>0</v>
      </c>
    </row>
    <row r="32" spans="1:10" x14ac:dyDescent="0.3">
      <c r="A32" s="5">
        <v>4518</v>
      </c>
      <c r="B32" s="5">
        <v>8241905376</v>
      </c>
      <c r="C32" s="5" t="s">
        <v>102</v>
      </c>
      <c r="D32" s="5" t="s">
        <v>78</v>
      </c>
      <c r="E32" s="2">
        <v>54</v>
      </c>
      <c r="G32" s="5" t="s">
        <v>19</v>
      </c>
      <c r="H32" s="2">
        <v>4</v>
      </c>
    </row>
    <row r="33" spans="1:10" x14ac:dyDescent="0.3">
      <c r="A33" s="5">
        <v>27963</v>
      </c>
      <c r="B33" s="5">
        <v>4193057862</v>
      </c>
      <c r="C33" s="5" t="s">
        <v>103</v>
      </c>
      <c r="D33" s="5" t="s">
        <v>79</v>
      </c>
      <c r="E33" s="2">
        <v>85</v>
      </c>
      <c r="G33" s="5" t="s">
        <v>17</v>
      </c>
      <c r="H33" s="2">
        <v>40</v>
      </c>
    </row>
    <row r="34" spans="1:10" x14ac:dyDescent="0.3">
      <c r="A34" s="5">
        <v>9341</v>
      </c>
      <c r="B34" s="5">
        <v>2483610975</v>
      </c>
      <c r="C34" s="5" t="s">
        <v>104</v>
      </c>
      <c r="D34" s="5" t="s">
        <v>80</v>
      </c>
      <c r="E34" s="2">
        <v>40</v>
      </c>
      <c r="G34" s="5" t="s">
        <v>18</v>
      </c>
      <c r="H34" s="2">
        <v>4</v>
      </c>
      <c r="I34" s="5">
        <v>2483610975</v>
      </c>
      <c r="J34" s="5" t="s">
        <v>104</v>
      </c>
    </row>
    <row r="35" spans="1:10" x14ac:dyDescent="0.3">
      <c r="A35" s="5">
        <v>60825</v>
      </c>
      <c r="B35" s="5">
        <v>8237164095</v>
      </c>
      <c r="C35" s="5" t="s">
        <v>105</v>
      </c>
      <c r="D35" s="5" t="s">
        <v>81</v>
      </c>
      <c r="E35" s="2">
        <v>45</v>
      </c>
      <c r="G35" s="5" t="s">
        <v>19</v>
      </c>
      <c r="H35" s="2">
        <v>20</v>
      </c>
    </row>
    <row r="36" spans="1:10" x14ac:dyDescent="0.3">
      <c r="A36" s="5">
        <v>7124</v>
      </c>
      <c r="B36" s="5">
        <v>4172936508</v>
      </c>
      <c r="C36" s="5" t="s">
        <v>106</v>
      </c>
      <c r="D36" s="5" t="s">
        <v>82</v>
      </c>
      <c r="E36" s="2">
        <v>15</v>
      </c>
      <c r="G36" s="5" t="s">
        <v>17</v>
      </c>
      <c r="H36" s="2">
        <v>9</v>
      </c>
      <c r="I36" s="5"/>
      <c r="J36" s="5"/>
    </row>
    <row r="37" spans="1:10" x14ac:dyDescent="0.3">
      <c r="A37" s="5">
        <v>35698</v>
      </c>
      <c r="B37" s="5">
        <v>2495731068</v>
      </c>
      <c r="C37" s="5" t="s">
        <v>107</v>
      </c>
      <c r="D37" s="5" t="s">
        <v>83</v>
      </c>
      <c r="E37" s="5">
        <v>18</v>
      </c>
      <c r="G37" s="5" t="s">
        <v>18</v>
      </c>
      <c r="H37" s="2">
        <v>84</v>
      </c>
    </row>
    <row r="38" spans="1:10" x14ac:dyDescent="0.3">
      <c r="A38" s="5">
        <v>4890</v>
      </c>
      <c r="B38" s="5">
        <v>4827169054</v>
      </c>
      <c r="C38" s="5" t="s">
        <v>108</v>
      </c>
      <c r="D38" s="5" t="s">
        <v>84</v>
      </c>
      <c r="E38" s="5">
        <v>4</v>
      </c>
      <c r="G38" s="5" t="s">
        <v>17</v>
      </c>
      <c r="H38" s="2">
        <v>0</v>
      </c>
    </row>
    <row r="39" spans="1:10" x14ac:dyDescent="0.3">
      <c r="A39" s="5">
        <v>92157</v>
      </c>
      <c r="B39" s="5">
        <v>8243509717</v>
      </c>
      <c r="C39" s="5" t="s">
        <v>47</v>
      </c>
      <c r="D39" s="5" t="s">
        <v>85</v>
      </c>
      <c r="E39" s="5">
        <v>8</v>
      </c>
      <c r="G39" s="5" t="s">
        <v>18</v>
      </c>
      <c r="H39" s="2">
        <v>80</v>
      </c>
    </row>
    <row r="40" spans="1:10" x14ac:dyDescent="0.3">
      <c r="D40" s="5"/>
      <c r="E40" s="5"/>
    </row>
    <row r="41" spans="1:10" x14ac:dyDescent="0.3">
      <c r="E41" s="5"/>
    </row>
    <row r="42" spans="1:10" x14ac:dyDescent="0.3">
      <c r="E42" s="5"/>
    </row>
    <row r="43" spans="1:10" x14ac:dyDescent="0.3">
      <c r="E43" s="5"/>
    </row>
    <row r="44" spans="1:10" x14ac:dyDescent="0.3">
      <c r="E44" s="5"/>
    </row>
    <row r="45" spans="1:10" x14ac:dyDescent="0.3">
      <c r="E45" s="5"/>
    </row>
    <row r="46" spans="1:10" x14ac:dyDescent="0.3">
      <c r="E46" s="5"/>
    </row>
    <row r="47" spans="1:10" x14ac:dyDescent="0.3">
      <c r="E47" s="5"/>
    </row>
    <row r="48" spans="1:10" x14ac:dyDescent="0.3">
      <c r="E48" s="5"/>
    </row>
    <row r="49" spans="5:5" x14ac:dyDescent="0.3">
      <c r="E49" s="5"/>
    </row>
    <row r="50" spans="5:5" x14ac:dyDescent="0.3">
      <c r="E50" s="5"/>
    </row>
    <row r="51" spans="5:5" x14ac:dyDescent="0.3">
      <c r="E51" s="5"/>
    </row>
    <row r="52" spans="5:5" x14ac:dyDescent="0.3">
      <c r="E52" s="5"/>
    </row>
    <row r="53" spans="5:5" x14ac:dyDescent="0.3">
      <c r="E53" s="5"/>
    </row>
    <row r="54" spans="5:5" x14ac:dyDescent="0.3">
      <c r="E54" s="5"/>
    </row>
    <row r="55" spans="5:5" x14ac:dyDescent="0.3">
      <c r="E55" s="5"/>
    </row>
    <row r="56" spans="5:5" x14ac:dyDescent="0.3">
      <c r="E56" s="5"/>
    </row>
    <row r="57" spans="5:5" x14ac:dyDescent="0.3">
      <c r="E57" s="5"/>
    </row>
    <row r="58" spans="5:5" x14ac:dyDescent="0.3">
      <c r="E58" s="5"/>
    </row>
    <row r="59" spans="5:5" x14ac:dyDescent="0.3">
      <c r="E59" s="5"/>
    </row>
    <row r="60" spans="5:5" x14ac:dyDescent="0.3">
      <c r="E60" s="5"/>
    </row>
    <row r="61" spans="5:5" x14ac:dyDescent="0.3">
      <c r="E61" s="5"/>
    </row>
    <row r="62" spans="5:5" x14ac:dyDescent="0.3">
      <c r="E62" s="5"/>
    </row>
    <row r="63" spans="5:5" x14ac:dyDescent="0.3">
      <c r="E63" s="5"/>
    </row>
    <row r="64" spans="5:5" x14ac:dyDescent="0.3">
      <c r="E64" s="5"/>
    </row>
    <row r="65" spans="5:5" x14ac:dyDescent="0.3">
      <c r="E65" s="5"/>
    </row>
    <row r="66" spans="5:5" x14ac:dyDescent="0.3">
      <c r="E66" s="5"/>
    </row>
    <row r="67" spans="5:5" x14ac:dyDescent="0.3">
      <c r="E67" s="5"/>
    </row>
    <row r="68" spans="5:5" x14ac:dyDescent="0.3">
      <c r="E68" s="5"/>
    </row>
    <row r="69" spans="5:5" x14ac:dyDescent="0.3">
      <c r="E69" s="5"/>
    </row>
    <row r="70" spans="5:5" x14ac:dyDescent="0.3">
      <c r="E70" s="5"/>
    </row>
    <row r="71" spans="5:5" x14ac:dyDescent="0.3">
      <c r="E71" s="5"/>
    </row>
    <row r="72" spans="5:5" x14ac:dyDescent="0.3">
      <c r="E72" s="5"/>
    </row>
    <row r="73" spans="5:5" x14ac:dyDescent="0.3">
      <c r="E73" s="5"/>
    </row>
    <row r="74" spans="5:5" x14ac:dyDescent="0.3">
      <c r="E74" s="5"/>
    </row>
    <row r="75" spans="5:5" x14ac:dyDescent="0.3">
      <c r="E75" s="5"/>
    </row>
    <row r="76" spans="5:5" x14ac:dyDescent="0.3">
      <c r="E76" s="5"/>
    </row>
    <row r="77" spans="5:5" x14ac:dyDescent="0.3">
      <c r="E77" s="5"/>
    </row>
    <row r="78" spans="5:5" x14ac:dyDescent="0.3">
      <c r="E78" s="5"/>
    </row>
    <row r="79" spans="5:5" x14ac:dyDescent="0.3">
      <c r="E79" s="5">
        <v>594</v>
      </c>
    </row>
    <row r="80" spans="5:5" x14ac:dyDescent="0.3">
      <c r="E80" s="5">
        <v>594</v>
      </c>
    </row>
    <row r="81" spans="5:5" x14ac:dyDescent="0.3">
      <c r="E81" s="5">
        <v>594</v>
      </c>
    </row>
    <row r="82" spans="5:5" x14ac:dyDescent="0.3">
      <c r="E82" s="5">
        <v>594</v>
      </c>
    </row>
    <row r="83" spans="5:5" x14ac:dyDescent="0.3">
      <c r="E83" s="5">
        <v>594</v>
      </c>
    </row>
    <row r="84" spans="5:5" x14ac:dyDescent="0.3">
      <c r="E84" s="5">
        <v>594</v>
      </c>
    </row>
    <row r="85" spans="5:5" x14ac:dyDescent="0.3">
      <c r="E85" s="5">
        <v>594</v>
      </c>
    </row>
    <row r="86" spans="5:5" x14ac:dyDescent="0.3">
      <c r="E86" s="5">
        <v>594</v>
      </c>
    </row>
    <row r="87" spans="5:5" x14ac:dyDescent="0.3">
      <c r="E87" s="5">
        <v>594</v>
      </c>
    </row>
    <row r="88" spans="5:5" x14ac:dyDescent="0.3">
      <c r="E88" s="5">
        <v>594</v>
      </c>
    </row>
    <row r="89" spans="5:5" x14ac:dyDescent="0.3">
      <c r="E89" s="5">
        <v>594</v>
      </c>
    </row>
    <row r="90" spans="5:5" x14ac:dyDescent="0.3">
      <c r="E90" s="5">
        <v>594</v>
      </c>
    </row>
    <row r="91" spans="5:5" x14ac:dyDescent="0.3">
      <c r="E91" s="5">
        <v>594</v>
      </c>
    </row>
    <row r="92" spans="5:5" x14ac:dyDescent="0.3">
      <c r="E92" s="5">
        <v>594</v>
      </c>
    </row>
    <row r="93" spans="5:5" x14ac:dyDescent="0.3">
      <c r="E93" s="5">
        <v>594</v>
      </c>
    </row>
    <row r="94" spans="5:5" x14ac:dyDescent="0.3">
      <c r="E94" s="5">
        <v>594</v>
      </c>
    </row>
    <row r="95" spans="5:5" x14ac:dyDescent="0.3">
      <c r="E95" s="5">
        <v>594</v>
      </c>
    </row>
    <row r="96" spans="5:5" x14ac:dyDescent="0.3">
      <c r="E96" s="5">
        <v>594</v>
      </c>
    </row>
    <row r="97" spans="5:5" x14ac:dyDescent="0.3">
      <c r="E97" s="5">
        <v>594</v>
      </c>
    </row>
    <row r="98" spans="5:5" x14ac:dyDescent="0.3">
      <c r="E98" s="5">
        <v>594</v>
      </c>
    </row>
    <row r="99" spans="5:5" x14ac:dyDescent="0.3">
      <c r="E99" s="5">
        <v>594</v>
      </c>
    </row>
    <row r="100" spans="5:5" x14ac:dyDescent="0.3">
      <c r="E100" s="5">
        <v>594</v>
      </c>
    </row>
    <row r="101" spans="5:5" x14ac:dyDescent="0.3">
      <c r="E101" s="5">
        <v>594</v>
      </c>
    </row>
    <row r="102" spans="5:5" x14ac:dyDescent="0.3">
      <c r="E102" s="5">
        <v>594</v>
      </c>
    </row>
    <row r="103" spans="5:5" x14ac:dyDescent="0.3">
      <c r="E103" s="5">
        <v>594</v>
      </c>
    </row>
    <row r="104" spans="5:5" x14ac:dyDescent="0.3">
      <c r="E104" s="5">
        <v>594</v>
      </c>
    </row>
    <row r="105" spans="5:5" x14ac:dyDescent="0.3">
      <c r="E105" s="5">
        <v>594</v>
      </c>
    </row>
    <row r="106" spans="5:5" x14ac:dyDescent="0.3">
      <c r="E106" s="5">
        <v>594</v>
      </c>
    </row>
    <row r="107" spans="5:5" x14ac:dyDescent="0.3">
      <c r="E107" s="5">
        <v>594</v>
      </c>
    </row>
    <row r="108" spans="5:5" x14ac:dyDescent="0.3">
      <c r="E108" s="5">
        <v>594</v>
      </c>
    </row>
    <row r="109" spans="5:5" x14ac:dyDescent="0.3">
      <c r="E109" s="5">
        <v>594</v>
      </c>
    </row>
    <row r="110" spans="5:5" x14ac:dyDescent="0.3">
      <c r="E110" s="5">
        <v>594</v>
      </c>
    </row>
    <row r="111" spans="5:5" x14ac:dyDescent="0.3">
      <c r="E111" s="5">
        <v>594</v>
      </c>
    </row>
    <row r="112" spans="5:5" x14ac:dyDescent="0.3">
      <c r="E112" s="5">
        <v>594</v>
      </c>
    </row>
    <row r="113" spans="5:5" x14ac:dyDescent="0.3">
      <c r="E113" s="5">
        <v>594</v>
      </c>
    </row>
    <row r="114" spans="5:5" x14ac:dyDescent="0.3">
      <c r="E114" s="5">
        <v>594</v>
      </c>
    </row>
    <row r="115" spans="5:5" x14ac:dyDescent="0.3">
      <c r="E115" s="5">
        <v>594</v>
      </c>
    </row>
    <row r="116" spans="5:5" x14ac:dyDescent="0.3">
      <c r="E116" s="5">
        <v>594</v>
      </c>
    </row>
    <row r="117" spans="5:5" x14ac:dyDescent="0.3">
      <c r="E117" s="5">
        <v>594</v>
      </c>
    </row>
    <row r="118" spans="5:5" x14ac:dyDescent="0.3">
      <c r="E118" s="5">
        <v>594</v>
      </c>
    </row>
    <row r="119" spans="5:5" x14ac:dyDescent="0.3">
      <c r="E119" s="5">
        <v>594</v>
      </c>
    </row>
    <row r="120" spans="5:5" x14ac:dyDescent="0.3">
      <c r="E120" s="5">
        <v>594</v>
      </c>
    </row>
    <row r="121" spans="5:5" x14ac:dyDescent="0.3">
      <c r="E121" s="5">
        <v>594</v>
      </c>
    </row>
    <row r="122" spans="5:5" x14ac:dyDescent="0.3">
      <c r="E122" s="5">
        <v>594</v>
      </c>
    </row>
    <row r="123" spans="5:5" x14ac:dyDescent="0.3">
      <c r="E123" s="5">
        <v>594</v>
      </c>
    </row>
    <row r="124" spans="5:5" x14ac:dyDescent="0.3">
      <c r="E124" s="5">
        <v>594</v>
      </c>
    </row>
    <row r="125" spans="5:5" x14ac:dyDescent="0.3">
      <c r="E125" s="5">
        <v>594</v>
      </c>
    </row>
    <row r="126" spans="5:5" x14ac:dyDescent="0.3">
      <c r="E126" s="5">
        <v>594</v>
      </c>
    </row>
    <row r="127" spans="5:5" x14ac:dyDescent="0.3">
      <c r="E127" s="5">
        <v>594</v>
      </c>
    </row>
    <row r="128" spans="5:5" x14ac:dyDescent="0.3">
      <c r="E128" s="5">
        <v>594</v>
      </c>
    </row>
    <row r="129" spans="5:5" x14ac:dyDescent="0.3">
      <c r="E129" s="5">
        <v>594</v>
      </c>
    </row>
    <row r="130" spans="5:5" x14ac:dyDescent="0.3">
      <c r="E130" s="5">
        <v>594</v>
      </c>
    </row>
    <row r="131" spans="5:5" x14ac:dyDescent="0.3">
      <c r="E131" s="5">
        <v>594</v>
      </c>
    </row>
    <row r="132" spans="5:5" x14ac:dyDescent="0.3">
      <c r="E132" s="5">
        <v>594</v>
      </c>
    </row>
    <row r="133" spans="5:5" x14ac:dyDescent="0.3">
      <c r="E133" s="5">
        <v>594</v>
      </c>
    </row>
    <row r="134" spans="5:5" x14ac:dyDescent="0.3">
      <c r="E134" s="5">
        <v>594</v>
      </c>
    </row>
    <row r="135" spans="5:5" x14ac:dyDescent="0.3">
      <c r="E135" s="5">
        <v>594</v>
      </c>
    </row>
    <row r="136" spans="5:5" x14ac:dyDescent="0.3">
      <c r="E136" s="5">
        <v>594</v>
      </c>
    </row>
    <row r="137" spans="5:5" x14ac:dyDescent="0.3">
      <c r="E137" s="5">
        <v>594</v>
      </c>
    </row>
    <row r="138" spans="5:5" x14ac:dyDescent="0.3">
      <c r="E138" s="5">
        <v>594</v>
      </c>
    </row>
    <row r="139" spans="5:5" x14ac:dyDescent="0.3">
      <c r="E139" s="5">
        <v>594</v>
      </c>
    </row>
    <row r="140" spans="5:5" x14ac:dyDescent="0.3">
      <c r="E140" s="5">
        <v>594</v>
      </c>
    </row>
    <row r="141" spans="5:5" x14ac:dyDescent="0.3">
      <c r="E141" s="5">
        <v>594</v>
      </c>
    </row>
    <row r="142" spans="5:5" x14ac:dyDescent="0.3">
      <c r="E142" s="5">
        <v>594</v>
      </c>
    </row>
    <row r="143" spans="5:5" x14ac:dyDescent="0.3">
      <c r="E143" s="5">
        <v>594</v>
      </c>
    </row>
    <row r="144" spans="5:5" x14ac:dyDescent="0.3">
      <c r="E144" s="5">
        <v>594</v>
      </c>
    </row>
    <row r="145" spans="5:5" x14ac:dyDescent="0.3">
      <c r="E145" s="5">
        <v>594</v>
      </c>
    </row>
    <row r="146" spans="5:5" x14ac:dyDescent="0.3">
      <c r="E146" s="5">
        <v>594</v>
      </c>
    </row>
    <row r="147" spans="5:5" x14ac:dyDescent="0.3">
      <c r="E147" s="5">
        <v>594</v>
      </c>
    </row>
    <row r="148" spans="5:5" x14ac:dyDescent="0.3">
      <c r="E148" s="5">
        <v>594</v>
      </c>
    </row>
    <row r="149" spans="5:5" x14ac:dyDescent="0.3">
      <c r="E149" s="5">
        <v>594</v>
      </c>
    </row>
    <row r="150" spans="5:5" x14ac:dyDescent="0.3">
      <c r="E150" s="5">
        <v>594</v>
      </c>
    </row>
    <row r="151" spans="5:5" x14ac:dyDescent="0.3">
      <c r="E151" s="5">
        <v>594</v>
      </c>
    </row>
    <row r="152" spans="5:5" x14ac:dyDescent="0.3">
      <c r="E152" s="5">
        <v>594</v>
      </c>
    </row>
    <row r="153" spans="5:5" x14ac:dyDescent="0.3">
      <c r="E153" s="5">
        <v>594</v>
      </c>
    </row>
    <row r="154" spans="5:5" x14ac:dyDescent="0.3">
      <c r="E154" s="5">
        <v>594</v>
      </c>
    </row>
    <row r="155" spans="5:5" x14ac:dyDescent="0.3">
      <c r="E155" s="5">
        <v>594</v>
      </c>
    </row>
    <row r="156" spans="5:5" x14ac:dyDescent="0.3">
      <c r="E156" s="5">
        <v>594</v>
      </c>
    </row>
    <row r="157" spans="5:5" x14ac:dyDescent="0.3">
      <c r="E157" s="5">
        <v>594</v>
      </c>
    </row>
    <row r="158" spans="5:5" x14ac:dyDescent="0.3">
      <c r="E158" s="5">
        <v>594</v>
      </c>
    </row>
    <row r="159" spans="5:5" x14ac:dyDescent="0.3">
      <c r="E159" s="5">
        <v>594</v>
      </c>
    </row>
    <row r="160" spans="5:5" x14ac:dyDescent="0.3">
      <c r="E160" s="5">
        <v>594</v>
      </c>
    </row>
    <row r="161" spans="5:5" x14ac:dyDescent="0.3">
      <c r="E161" s="5">
        <v>594</v>
      </c>
    </row>
    <row r="162" spans="5:5" x14ac:dyDescent="0.3">
      <c r="E162" s="5">
        <v>594</v>
      </c>
    </row>
    <row r="163" spans="5:5" x14ac:dyDescent="0.3">
      <c r="E163" s="5">
        <v>594</v>
      </c>
    </row>
    <row r="164" spans="5:5" x14ac:dyDescent="0.3">
      <c r="E164" s="5">
        <v>594</v>
      </c>
    </row>
    <row r="165" spans="5:5" x14ac:dyDescent="0.3">
      <c r="E165" s="5">
        <v>594</v>
      </c>
    </row>
    <row r="166" spans="5:5" x14ac:dyDescent="0.3">
      <c r="E166" s="5">
        <v>594</v>
      </c>
    </row>
    <row r="167" spans="5:5" x14ac:dyDescent="0.3">
      <c r="E167" s="5">
        <v>594</v>
      </c>
    </row>
    <row r="168" spans="5:5" x14ac:dyDescent="0.3">
      <c r="E168" s="5">
        <v>594</v>
      </c>
    </row>
    <row r="169" spans="5:5" x14ac:dyDescent="0.3">
      <c r="E169" s="5">
        <v>594</v>
      </c>
    </row>
    <row r="170" spans="5:5" x14ac:dyDescent="0.3">
      <c r="E170" s="5">
        <v>594</v>
      </c>
    </row>
    <row r="171" spans="5:5" x14ac:dyDescent="0.3">
      <c r="E171" s="5">
        <v>594</v>
      </c>
    </row>
    <row r="172" spans="5:5" x14ac:dyDescent="0.3">
      <c r="E172" s="5">
        <v>594</v>
      </c>
    </row>
    <row r="173" spans="5:5" x14ac:dyDescent="0.3">
      <c r="E173" s="5">
        <v>594</v>
      </c>
    </row>
    <row r="174" spans="5:5" x14ac:dyDescent="0.3">
      <c r="E174" s="5">
        <v>594</v>
      </c>
    </row>
    <row r="175" spans="5:5" x14ac:dyDescent="0.3">
      <c r="E175" s="5">
        <v>594</v>
      </c>
    </row>
    <row r="176" spans="5:5" x14ac:dyDescent="0.3">
      <c r="E176" s="5">
        <v>594</v>
      </c>
    </row>
    <row r="177" spans="5:5" x14ac:dyDescent="0.3">
      <c r="E177" s="5">
        <v>594</v>
      </c>
    </row>
    <row r="178" spans="5:5" x14ac:dyDescent="0.3">
      <c r="E178" s="5">
        <v>594</v>
      </c>
    </row>
    <row r="179" spans="5:5" x14ac:dyDescent="0.3">
      <c r="E179" s="5">
        <v>594</v>
      </c>
    </row>
    <row r="180" spans="5:5" x14ac:dyDescent="0.3">
      <c r="E180" s="5">
        <v>594</v>
      </c>
    </row>
    <row r="181" spans="5:5" x14ac:dyDescent="0.3">
      <c r="E181" s="5">
        <v>594</v>
      </c>
    </row>
    <row r="182" spans="5:5" x14ac:dyDescent="0.3">
      <c r="E182" s="5">
        <v>594</v>
      </c>
    </row>
    <row r="183" spans="5:5" x14ac:dyDescent="0.3">
      <c r="E183" s="5">
        <v>594</v>
      </c>
    </row>
    <row r="184" spans="5:5" x14ac:dyDescent="0.3">
      <c r="E184" s="5">
        <v>594</v>
      </c>
    </row>
    <row r="185" spans="5:5" x14ac:dyDescent="0.3">
      <c r="E185" s="5">
        <v>594</v>
      </c>
    </row>
    <row r="186" spans="5:5" x14ac:dyDescent="0.3">
      <c r="E186" s="5">
        <v>594</v>
      </c>
    </row>
    <row r="187" spans="5:5" x14ac:dyDescent="0.3">
      <c r="E187" s="5">
        <v>594</v>
      </c>
    </row>
    <row r="188" spans="5:5" x14ac:dyDescent="0.3">
      <c r="E188" s="5">
        <v>594</v>
      </c>
    </row>
    <row r="189" spans="5:5" x14ac:dyDescent="0.3">
      <c r="E189" s="5">
        <v>594</v>
      </c>
    </row>
    <row r="190" spans="5:5" x14ac:dyDescent="0.3">
      <c r="E190" s="5">
        <v>594</v>
      </c>
    </row>
    <row r="191" spans="5:5" x14ac:dyDescent="0.3">
      <c r="E191" s="5">
        <v>594</v>
      </c>
    </row>
    <row r="192" spans="5:5" x14ac:dyDescent="0.3">
      <c r="E192" s="5">
        <v>594</v>
      </c>
    </row>
    <row r="193" spans="5:5" x14ac:dyDescent="0.3">
      <c r="E193" s="5">
        <v>594</v>
      </c>
    </row>
    <row r="194" spans="5:5" x14ac:dyDescent="0.3">
      <c r="E194" s="5">
        <v>594</v>
      </c>
    </row>
    <row r="195" spans="5:5" x14ac:dyDescent="0.3">
      <c r="E195" s="5">
        <v>594</v>
      </c>
    </row>
    <row r="196" spans="5:5" x14ac:dyDescent="0.3">
      <c r="E196" s="5">
        <v>594</v>
      </c>
    </row>
    <row r="197" spans="5:5" x14ac:dyDescent="0.3">
      <c r="E197" s="5">
        <v>594</v>
      </c>
    </row>
    <row r="198" spans="5:5" x14ac:dyDescent="0.3">
      <c r="E198" s="5">
        <v>594</v>
      </c>
    </row>
    <row r="199" spans="5:5" x14ac:dyDescent="0.3">
      <c r="E199" s="5">
        <v>594</v>
      </c>
    </row>
    <row r="200" spans="5:5" x14ac:dyDescent="0.3">
      <c r="E200" s="5">
        <v>594</v>
      </c>
    </row>
    <row r="201" spans="5:5" x14ac:dyDescent="0.3">
      <c r="E201" s="5">
        <v>594</v>
      </c>
    </row>
    <row r="202" spans="5:5" x14ac:dyDescent="0.3">
      <c r="E202" s="5">
        <v>594</v>
      </c>
    </row>
    <row r="203" spans="5:5" x14ac:dyDescent="0.3">
      <c r="E203" s="5">
        <v>594</v>
      </c>
    </row>
    <row r="204" spans="5:5" x14ac:dyDescent="0.3">
      <c r="E204" s="5">
        <v>594</v>
      </c>
    </row>
    <row r="205" spans="5:5" x14ac:dyDescent="0.3">
      <c r="E205" s="5">
        <v>594</v>
      </c>
    </row>
    <row r="206" spans="5:5" x14ac:dyDescent="0.3">
      <c r="E206" s="5">
        <v>594</v>
      </c>
    </row>
    <row r="207" spans="5:5" x14ac:dyDescent="0.3">
      <c r="E207" s="5">
        <v>594</v>
      </c>
    </row>
    <row r="208" spans="5:5" x14ac:dyDescent="0.3">
      <c r="E208" s="5">
        <v>594</v>
      </c>
    </row>
    <row r="209" spans="5:5" x14ac:dyDescent="0.3">
      <c r="E209" s="5">
        <v>594</v>
      </c>
    </row>
    <row r="210" spans="5:5" x14ac:dyDescent="0.3">
      <c r="E210" s="5">
        <v>594</v>
      </c>
    </row>
    <row r="211" spans="5:5" x14ac:dyDescent="0.3">
      <c r="E211" s="5">
        <v>594</v>
      </c>
    </row>
    <row r="212" spans="5:5" x14ac:dyDescent="0.3">
      <c r="E212" s="5">
        <v>594</v>
      </c>
    </row>
    <row r="213" spans="5:5" x14ac:dyDescent="0.3">
      <c r="E213" s="5">
        <v>594</v>
      </c>
    </row>
    <row r="214" spans="5:5" x14ac:dyDescent="0.3">
      <c r="E214" s="5">
        <v>594</v>
      </c>
    </row>
    <row r="215" spans="5:5" x14ac:dyDescent="0.3">
      <c r="E215" s="5">
        <v>594</v>
      </c>
    </row>
    <row r="216" spans="5:5" x14ac:dyDescent="0.3">
      <c r="E216" s="5">
        <v>594</v>
      </c>
    </row>
    <row r="217" spans="5:5" x14ac:dyDescent="0.3">
      <c r="E217" s="5">
        <v>594</v>
      </c>
    </row>
    <row r="218" spans="5:5" x14ac:dyDescent="0.3">
      <c r="E218" s="5">
        <v>594</v>
      </c>
    </row>
    <row r="219" spans="5:5" x14ac:dyDescent="0.3">
      <c r="E219" s="5">
        <v>594</v>
      </c>
    </row>
    <row r="220" spans="5:5" x14ac:dyDescent="0.3">
      <c r="E220" s="5">
        <v>594</v>
      </c>
    </row>
    <row r="221" spans="5:5" x14ac:dyDescent="0.3">
      <c r="E221" s="5">
        <v>594</v>
      </c>
    </row>
    <row r="222" spans="5:5" x14ac:dyDescent="0.3">
      <c r="E222" s="5">
        <v>594</v>
      </c>
    </row>
    <row r="223" spans="5:5" x14ac:dyDescent="0.3">
      <c r="E223" s="5">
        <v>594</v>
      </c>
    </row>
    <row r="224" spans="5:5" x14ac:dyDescent="0.3">
      <c r="E224" s="5">
        <v>594</v>
      </c>
    </row>
    <row r="225" spans="5:5" x14ac:dyDescent="0.3">
      <c r="E225" s="5">
        <v>594</v>
      </c>
    </row>
    <row r="226" spans="5:5" x14ac:dyDescent="0.3">
      <c r="E226" s="5">
        <v>594</v>
      </c>
    </row>
    <row r="227" spans="5:5" x14ac:dyDescent="0.3">
      <c r="E227" s="5">
        <v>594</v>
      </c>
    </row>
    <row r="228" spans="5:5" x14ac:dyDescent="0.3">
      <c r="E228" s="5">
        <v>594</v>
      </c>
    </row>
    <row r="229" spans="5:5" x14ac:dyDescent="0.3">
      <c r="E229" s="5">
        <v>594</v>
      </c>
    </row>
    <row r="230" spans="5:5" x14ac:dyDescent="0.3">
      <c r="E230" s="5">
        <v>594</v>
      </c>
    </row>
    <row r="231" spans="5:5" x14ac:dyDescent="0.3">
      <c r="E231" s="5">
        <v>594</v>
      </c>
    </row>
    <row r="232" spans="5:5" x14ac:dyDescent="0.3">
      <c r="E232" s="5">
        <v>594</v>
      </c>
    </row>
    <row r="233" spans="5:5" x14ac:dyDescent="0.3">
      <c r="E233" s="5">
        <v>594</v>
      </c>
    </row>
    <row r="234" spans="5:5" x14ac:dyDescent="0.3">
      <c r="E234" s="5">
        <v>594</v>
      </c>
    </row>
    <row r="235" spans="5:5" x14ac:dyDescent="0.3">
      <c r="E235" s="5">
        <v>594</v>
      </c>
    </row>
    <row r="236" spans="5:5" x14ac:dyDescent="0.3">
      <c r="E236" s="5">
        <v>594</v>
      </c>
    </row>
    <row r="237" spans="5:5" x14ac:dyDescent="0.3">
      <c r="E237" s="5">
        <v>594</v>
      </c>
    </row>
    <row r="238" spans="5:5" x14ac:dyDescent="0.3">
      <c r="E238" s="5">
        <v>594</v>
      </c>
    </row>
    <row r="239" spans="5:5" x14ac:dyDescent="0.3">
      <c r="E239" s="5">
        <v>594</v>
      </c>
    </row>
    <row r="240" spans="5:5" x14ac:dyDescent="0.3">
      <c r="E240" s="5">
        <v>594</v>
      </c>
    </row>
    <row r="241" spans="5:5" x14ac:dyDescent="0.3">
      <c r="E241" s="5">
        <v>594</v>
      </c>
    </row>
    <row r="242" spans="5:5" x14ac:dyDescent="0.3">
      <c r="E242" s="5">
        <v>594</v>
      </c>
    </row>
    <row r="243" spans="5:5" x14ac:dyDescent="0.3">
      <c r="E243" s="5">
        <v>594</v>
      </c>
    </row>
    <row r="244" spans="5:5" x14ac:dyDescent="0.3">
      <c r="E244" s="5">
        <v>594</v>
      </c>
    </row>
    <row r="245" spans="5:5" x14ac:dyDescent="0.3">
      <c r="E245" s="5">
        <v>594</v>
      </c>
    </row>
    <row r="246" spans="5:5" x14ac:dyDescent="0.3">
      <c r="E246" s="5">
        <v>594</v>
      </c>
    </row>
    <row r="247" spans="5:5" x14ac:dyDescent="0.3">
      <c r="E247" s="5">
        <v>594</v>
      </c>
    </row>
    <row r="248" spans="5:5" x14ac:dyDescent="0.3">
      <c r="E248" s="5">
        <v>594</v>
      </c>
    </row>
    <row r="249" spans="5:5" x14ac:dyDescent="0.3">
      <c r="E249" s="5">
        <v>594</v>
      </c>
    </row>
    <row r="250" spans="5:5" x14ac:dyDescent="0.3">
      <c r="E250" s="5">
        <v>594</v>
      </c>
    </row>
    <row r="251" spans="5:5" x14ac:dyDescent="0.3">
      <c r="E251" s="5">
        <v>594</v>
      </c>
    </row>
    <row r="252" spans="5:5" x14ac:dyDescent="0.3">
      <c r="E252" s="5">
        <v>594</v>
      </c>
    </row>
    <row r="253" spans="5:5" x14ac:dyDescent="0.3">
      <c r="E253" s="5">
        <v>594</v>
      </c>
    </row>
    <row r="254" spans="5:5" x14ac:dyDescent="0.3">
      <c r="E254" s="5">
        <v>594</v>
      </c>
    </row>
    <row r="255" spans="5:5" x14ac:dyDescent="0.3">
      <c r="E255" s="5">
        <v>594</v>
      </c>
    </row>
    <row r="256" spans="5:5" x14ac:dyDescent="0.3">
      <c r="E256" s="5">
        <v>594</v>
      </c>
    </row>
    <row r="257" spans="5:5" x14ac:dyDescent="0.3">
      <c r="E257" s="5">
        <v>594</v>
      </c>
    </row>
    <row r="258" spans="5:5" x14ac:dyDescent="0.3">
      <c r="E258" s="5">
        <v>594</v>
      </c>
    </row>
    <row r="259" spans="5:5" x14ac:dyDescent="0.3">
      <c r="E259" s="5">
        <v>594</v>
      </c>
    </row>
    <row r="260" spans="5:5" x14ac:dyDescent="0.3">
      <c r="E260" s="5">
        <v>594</v>
      </c>
    </row>
    <row r="261" spans="5:5" x14ac:dyDescent="0.3">
      <c r="E261" s="5">
        <v>594</v>
      </c>
    </row>
    <row r="262" spans="5:5" x14ac:dyDescent="0.3">
      <c r="E262" s="5">
        <v>594</v>
      </c>
    </row>
    <row r="263" spans="5:5" x14ac:dyDescent="0.3">
      <c r="E263" s="5">
        <v>594</v>
      </c>
    </row>
    <row r="264" spans="5:5" x14ac:dyDescent="0.3">
      <c r="E264" s="5">
        <v>594</v>
      </c>
    </row>
    <row r="265" spans="5:5" x14ac:dyDescent="0.3">
      <c r="E265" s="5">
        <v>594</v>
      </c>
    </row>
    <row r="266" spans="5:5" x14ac:dyDescent="0.3">
      <c r="E266" s="5">
        <v>594</v>
      </c>
    </row>
    <row r="267" spans="5:5" x14ac:dyDescent="0.3">
      <c r="E267" s="5">
        <v>594</v>
      </c>
    </row>
    <row r="268" spans="5:5" x14ac:dyDescent="0.3">
      <c r="E268" s="5">
        <v>594</v>
      </c>
    </row>
    <row r="269" spans="5:5" x14ac:dyDescent="0.3">
      <c r="E269" s="5">
        <v>594</v>
      </c>
    </row>
    <row r="270" spans="5:5" x14ac:dyDescent="0.3">
      <c r="E270" s="5">
        <v>594</v>
      </c>
    </row>
    <row r="271" spans="5:5" x14ac:dyDescent="0.3">
      <c r="E271" s="5">
        <v>594</v>
      </c>
    </row>
    <row r="272" spans="5:5" x14ac:dyDescent="0.3">
      <c r="E272" s="5">
        <v>594</v>
      </c>
    </row>
    <row r="273" spans="5:5" x14ac:dyDescent="0.3">
      <c r="E273" s="5">
        <v>594</v>
      </c>
    </row>
    <row r="274" spans="5:5" x14ac:dyDescent="0.3">
      <c r="E274" s="5">
        <v>594</v>
      </c>
    </row>
    <row r="275" spans="5:5" x14ac:dyDescent="0.3">
      <c r="E275" s="5">
        <v>594</v>
      </c>
    </row>
    <row r="276" spans="5:5" x14ac:dyDescent="0.3">
      <c r="E276" s="5">
        <v>594</v>
      </c>
    </row>
    <row r="277" spans="5:5" x14ac:dyDescent="0.3">
      <c r="E277" s="5">
        <v>594</v>
      </c>
    </row>
    <row r="278" spans="5:5" x14ac:dyDescent="0.3">
      <c r="E278" s="5">
        <v>594</v>
      </c>
    </row>
    <row r="279" spans="5:5" x14ac:dyDescent="0.3">
      <c r="E279" s="5">
        <v>594</v>
      </c>
    </row>
    <row r="280" spans="5:5" x14ac:dyDescent="0.3">
      <c r="E280" s="5">
        <v>594</v>
      </c>
    </row>
    <row r="281" spans="5:5" x14ac:dyDescent="0.3">
      <c r="E281" s="5">
        <v>594</v>
      </c>
    </row>
    <row r="282" spans="5:5" x14ac:dyDescent="0.3">
      <c r="E282" s="5">
        <v>594</v>
      </c>
    </row>
    <row r="283" spans="5:5" x14ac:dyDescent="0.3">
      <c r="E283" s="5">
        <v>594</v>
      </c>
    </row>
    <row r="284" spans="5:5" x14ac:dyDescent="0.3">
      <c r="E284" s="5">
        <v>594</v>
      </c>
    </row>
    <row r="285" spans="5:5" x14ac:dyDescent="0.3">
      <c r="E285" s="5">
        <v>594</v>
      </c>
    </row>
    <row r="286" spans="5:5" x14ac:dyDescent="0.3">
      <c r="E286" s="5">
        <v>594</v>
      </c>
    </row>
    <row r="287" spans="5:5" x14ac:dyDescent="0.3">
      <c r="E287" s="5">
        <v>594</v>
      </c>
    </row>
    <row r="288" spans="5:5" x14ac:dyDescent="0.3">
      <c r="E288" s="5">
        <v>594</v>
      </c>
    </row>
    <row r="289" spans="5:5" x14ac:dyDescent="0.3">
      <c r="E289" s="5">
        <v>594</v>
      </c>
    </row>
    <row r="290" spans="5:5" x14ac:dyDescent="0.3">
      <c r="E290" s="5">
        <v>594</v>
      </c>
    </row>
    <row r="291" spans="5:5" x14ac:dyDescent="0.3">
      <c r="E291" s="5">
        <v>594</v>
      </c>
    </row>
    <row r="292" spans="5:5" x14ac:dyDescent="0.3">
      <c r="E292" s="5">
        <v>594</v>
      </c>
    </row>
    <row r="293" spans="5:5" x14ac:dyDescent="0.3">
      <c r="E293" s="5">
        <v>594</v>
      </c>
    </row>
    <row r="294" spans="5:5" x14ac:dyDescent="0.3">
      <c r="E294" s="5">
        <v>594</v>
      </c>
    </row>
    <row r="295" spans="5:5" x14ac:dyDescent="0.3">
      <c r="E295" s="5">
        <v>594</v>
      </c>
    </row>
    <row r="296" spans="5:5" x14ac:dyDescent="0.3">
      <c r="E296" s="5">
        <v>594</v>
      </c>
    </row>
    <row r="297" spans="5:5" x14ac:dyDescent="0.3">
      <c r="E297" s="5">
        <v>594</v>
      </c>
    </row>
    <row r="298" spans="5:5" x14ac:dyDescent="0.3">
      <c r="E298" s="5">
        <v>594</v>
      </c>
    </row>
    <row r="299" spans="5:5" x14ac:dyDescent="0.3">
      <c r="E299" s="5">
        <v>594</v>
      </c>
    </row>
    <row r="300" spans="5:5" x14ac:dyDescent="0.3">
      <c r="E300" s="5">
        <v>594</v>
      </c>
    </row>
    <row r="301" spans="5:5" x14ac:dyDescent="0.3">
      <c r="E301" s="5">
        <v>594</v>
      </c>
    </row>
    <row r="302" spans="5:5" x14ac:dyDescent="0.3">
      <c r="E302" s="5">
        <v>594</v>
      </c>
    </row>
    <row r="303" spans="5:5" x14ac:dyDescent="0.3">
      <c r="E303" s="5">
        <v>594</v>
      </c>
    </row>
    <row r="304" spans="5:5" x14ac:dyDescent="0.3">
      <c r="E304" s="5">
        <v>594</v>
      </c>
    </row>
    <row r="305" spans="5:5" x14ac:dyDescent="0.3">
      <c r="E305" s="5">
        <v>594</v>
      </c>
    </row>
    <row r="306" spans="5:5" x14ac:dyDescent="0.3">
      <c r="E306" s="5">
        <v>594</v>
      </c>
    </row>
    <row r="307" spans="5:5" x14ac:dyDescent="0.3">
      <c r="E307" s="5">
        <v>594</v>
      </c>
    </row>
    <row r="308" spans="5:5" x14ac:dyDescent="0.3">
      <c r="E308" s="5">
        <v>594</v>
      </c>
    </row>
    <row r="309" spans="5:5" x14ac:dyDescent="0.3">
      <c r="E309" s="5">
        <v>594</v>
      </c>
    </row>
    <row r="310" spans="5:5" x14ac:dyDescent="0.3">
      <c r="E310" s="5">
        <v>594</v>
      </c>
    </row>
    <row r="311" spans="5:5" x14ac:dyDescent="0.3">
      <c r="E311" s="5">
        <v>594</v>
      </c>
    </row>
    <row r="312" spans="5:5" x14ac:dyDescent="0.3">
      <c r="E312" s="5">
        <v>594</v>
      </c>
    </row>
    <row r="313" spans="5:5" x14ac:dyDescent="0.3">
      <c r="E313" s="5">
        <v>594</v>
      </c>
    </row>
    <row r="314" spans="5:5" x14ac:dyDescent="0.3">
      <c r="E314" s="5">
        <v>594</v>
      </c>
    </row>
    <row r="315" spans="5:5" x14ac:dyDescent="0.3">
      <c r="E315" s="5">
        <v>594</v>
      </c>
    </row>
    <row r="316" spans="5:5" x14ac:dyDescent="0.3">
      <c r="E316" s="5">
        <v>594</v>
      </c>
    </row>
    <row r="317" spans="5:5" x14ac:dyDescent="0.3">
      <c r="E317" s="5">
        <v>594</v>
      </c>
    </row>
    <row r="318" spans="5:5" x14ac:dyDescent="0.3">
      <c r="E318" s="5">
        <v>594</v>
      </c>
    </row>
    <row r="319" spans="5:5" x14ac:dyDescent="0.3">
      <c r="E319" s="5">
        <v>594</v>
      </c>
    </row>
    <row r="320" spans="5:5" x14ac:dyDescent="0.3">
      <c r="E320" s="5">
        <v>594</v>
      </c>
    </row>
    <row r="321" spans="5:5" x14ac:dyDescent="0.3">
      <c r="E321" s="5">
        <v>594</v>
      </c>
    </row>
    <row r="322" spans="5:5" x14ac:dyDescent="0.3">
      <c r="E322" s="5">
        <v>594</v>
      </c>
    </row>
    <row r="323" spans="5:5" x14ac:dyDescent="0.3">
      <c r="E323" s="5">
        <v>594</v>
      </c>
    </row>
    <row r="324" spans="5:5" x14ac:dyDescent="0.3">
      <c r="E324" s="5">
        <v>594</v>
      </c>
    </row>
    <row r="325" spans="5:5" x14ac:dyDescent="0.3">
      <c r="E325" s="5">
        <v>594</v>
      </c>
    </row>
    <row r="326" spans="5:5" x14ac:dyDescent="0.3">
      <c r="E326" s="5">
        <v>594</v>
      </c>
    </row>
    <row r="327" spans="5:5" x14ac:dyDescent="0.3">
      <c r="E327" s="5">
        <v>594</v>
      </c>
    </row>
    <row r="328" spans="5:5" x14ac:dyDescent="0.3">
      <c r="E328" s="5">
        <v>594</v>
      </c>
    </row>
    <row r="329" spans="5:5" x14ac:dyDescent="0.3">
      <c r="E329" s="5">
        <v>594</v>
      </c>
    </row>
    <row r="330" spans="5:5" x14ac:dyDescent="0.3">
      <c r="E330" s="5">
        <v>594</v>
      </c>
    </row>
    <row r="331" spans="5:5" x14ac:dyDescent="0.3">
      <c r="E331" s="5">
        <v>594</v>
      </c>
    </row>
    <row r="332" spans="5:5" x14ac:dyDescent="0.3">
      <c r="E332" s="5">
        <v>594</v>
      </c>
    </row>
    <row r="333" spans="5:5" x14ac:dyDescent="0.3">
      <c r="E333" s="5">
        <v>594</v>
      </c>
    </row>
    <row r="334" spans="5:5" x14ac:dyDescent="0.3">
      <c r="E334" s="5">
        <v>594</v>
      </c>
    </row>
    <row r="335" spans="5:5" x14ac:dyDescent="0.3">
      <c r="E335" s="5">
        <v>594</v>
      </c>
    </row>
    <row r="336" spans="5:5" x14ac:dyDescent="0.3">
      <c r="E336" s="5">
        <v>594</v>
      </c>
    </row>
    <row r="337" spans="5:5" x14ac:dyDescent="0.3">
      <c r="E337" s="5">
        <v>594</v>
      </c>
    </row>
    <row r="338" spans="5:5" x14ac:dyDescent="0.3">
      <c r="E338" s="5">
        <v>594</v>
      </c>
    </row>
    <row r="339" spans="5:5" x14ac:dyDescent="0.3">
      <c r="E339" s="5">
        <v>594</v>
      </c>
    </row>
    <row r="340" spans="5:5" x14ac:dyDescent="0.3">
      <c r="E340" s="5">
        <v>594</v>
      </c>
    </row>
    <row r="341" spans="5:5" x14ac:dyDescent="0.3">
      <c r="E341" s="5">
        <v>594</v>
      </c>
    </row>
    <row r="342" spans="5:5" x14ac:dyDescent="0.3">
      <c r="E342" s="5">
        <v>594</v>
      </c>
    </row>
    <row r="343" spans="5:5" x14ac:dyDescent="0.3">
      <c r="E343" s="5">
        <v>594</v>
      </c>
    </row>
    <row r="344" spans="5:5" x14ac:dyDescent="0.3">
      <c r="E344" s="5">
        <v>594</v>
      </c>
    </row>
    <row r="345" spans="5:5" x14ac:dyDescent="0.3">
      <c r="E345" s="5">
        <v>594</v>
      </c>
    </row>
    <row r="346" spans="5:5" x14ac:dyDescent="0.3">
      <c r="E346" s="5">
        <v>594</v>
      </c>
    </row>
    <row r="347" spans="5:5" x14ac:dyDescent="0.3">
      <c r="E347" s="5">
        <v>594</v>
      </c>
    </row>
    <row r="348" spans="5:5" x14ac:dyDescent="0.3">
      <c r="E348" s="5">
        <v>594</v>
      </c>
    </row>
    <row r="349" spans="5:5" x14ac:dyDescent="0.3">
      <c r="E349" s="5">
        <v>594</v>
      </c>
    </row>
    <row r="350" spans="5:5" x14ac:dyDescent="0.3">
      <c r="E350" s="5">
        <v>594</v>
      </c>
    </row>
    <row r="351" spans="5:5" x14ac:dyDescent="0.3">
      <c r="E351" s="5">
        <v>594</v>
      </c>
    </row>
    <row r="352" spans="5:5" x14ac:dyDescent="0.3">
      <c r="E352" s="5">
        <v>594</v>
      </c>
    </row>
    <row r="353" spans="5:5" x14ac:dyDescent="0.3">
      <c r="E353" s="5">
        <v>594</v>
      </c>
    </row>
    <row r="354" spans="5:5" x14ac:dyDescent="0.3">
      <c r="E354" s="5">
        <v>594</v>
      </c>
    </row>
    <row r="355" spans="5:5" x14ac:dyDescent="0.3">
      <c r="E355" s="5">
        <v>594</v>
      </c>
    </row>
    <row r="356" spans="5:5" x14ac:dyDescent="0.3">
      <c r="E356" s="5">
        <v>594</v>
      </c>
    </row>
    <row r="357" spans="5:5" x14ac:dyDescent="0.3">
      <c r="E357" s="5">
        <v>594</v>
      </c>
    </row>
    <row r="358" spans="5:5" x14ac:dyDescent="0.3">
      <c r="E358" s="5">
        <v>594</v>
      </c>
    </row>
    <row r="359" spans="5:5" x14ac:dyDescent="0.3">
      <c r="E359" s="5">
        <v>594</v>
      </c>
    </row>
    <row r="360" spans="5:5" x14ac:dyDescent="0.3">
      <c r="E360" s="5">
        <v>594</v>
      </c>
    </row>
    <row r="361" spans="5:5" x14ac:dyDescent="0.3">
      <c r="E361" s="5">
        <v>594</v>
      </c>
    </row>
    <row r="362" spans="5:5" x14ac:dyDescent="0.3">
      <c r="E362" s="5">
        <v>594</v>
      </c>
    </row>
    <row r="363" spans="5:5" x14ac:dyDescent="0.3">
      <c r="E363" s="5">
        <v>594</v>
      </c>
    </row>
    <row r="364" spans="5:5" x14ac:dyDescent="0.3">
      <c r="E364" s="5">
        <v>594</v>
      </c>
    </row>
    <row r="365" spans="5:5" x14ac:dyDescent="0.3">
      <c r="E365" s="5">
        <v>594</v>
      </c>
    </row>
    <row r="366" spans="5:5" x14ac:dyDescent="0.3">
      <c r="E366" s="5">
        <v>594</v>
      </c>
    </row>
    <row r="367" spans="5:5" x14ac:dyDescent="0.3">
      <c r="E367" s="5">
        <v>594</v>
      </c>
    </row>
    <row r="368" spans="5:5" x14ac:dyDescent="0.3">
      <c r="E368" s="5">
        <v>594</v>
      </c>
    </row>
    <row r="369" spans="5:5" x14ac:dyDescent="0.3">
      <c r="E369" s="5">
        <v>594</v>
      </c>
    </row>
    <row r="370" spans="5:5" x14ac:dyDescent="0.3">
      <c r="E370" s="5">
        <v>594</v>
      </c>
    </row>
    <row r="371" spans="5:5" x14ac:dyDescent="0.3">
      <c r="E371" s="5">
        <v>594</v>
      </c>
    </row>
    <row r="372" spans="5:5" x14ac:dyDescent="0.3">
      <c r="E372" s="5">
        <v>594</v>
      </c>
    </row>
    <row r="373" spans="5:5" x14ac:dyDescent="0.3">
      <c r="E373" s="5">
        <v>594</v>
      </c>
    </row>
    <row r="374" spans="5:5" x14ac:dyDescent="0.3">
      <c r="E374" s="5">
        <v>594</v>
      </c>
    </row>
    <row r="375" spans="5:5" x14ac:dyDescent="0.3">
      <c r="E375" s="5">
        <v>594</v>
      </c>
    </row>
    <row r="376" spans="5:5" x14ac:dyDescent="0.3">
      <c r="E376" s="5">
        <v>594</v>
      </c>
    </row>
    <row r="377" spans="5:5" x14ac:dyDescent="0.3">
      <c r="E377" s="5">
        <v>594</v>
      </c>
    </row>
    <row r="378" spans="5:5" x14ac:dyDescent="0.3">
      <c r="E378" s="5">
        <v>594</v>
      </c>
    </row>
    <row r="379" spans="5:5" x14ac:dyDescent="0.3">
      <c r="E379" s="5">
        <v>594</v>
      </c>
    </row>
    <row r="380" spans="5:5" x14ac:dyDescent="0.3">
      <c r="E380" s="5">
        <v>594</v>
      </c>
    </row>
    <row r="381" spans="5:5" x14ac:dyDescent="0.3">
      <c r="E381" s="5">
        <v>594</v>
      </c>
    </row>
    <row r="382" spans="5:5" x14ac:dyDescent="0.3">
      <c r="E382" s="5">
        <v>594</v>
      </c>
    </row>
    <row r="383" spans="5:5" x14ac:dyDescent="0.3">
      <c r="E383" s="5">
        <v>594</v>
      </c>
    </row>
    <row r="384" spans="5:5" x14ac:dyDescent="0.3">
      <c r="E384" s="5">
        <v>594</v>
      </c>
    </row>
    <row r="385" spans="5:5" x14ac:dyDescent="0.3">
      <c r="E385" s="5">
        <v>594</v>
      </c>
    </row>
    <row r="386" spans="5:5" x14ac:dyDescent="0.3">
      <c r="E386" s="5">
        <v>594</v>
      </c>
    </row>
    <row r="387" spans="5:5" x14ac:dyDescent="0.3">
      <c r="E387" s="5">
        <v>594</v>
      </c>
    </row>
    <row r="388" spans="5:5" x14ac:dyDescent="0.3">
      <c r="E388" s="5">
        <v>594</v>
      </c>
    </row>
    <row r="389" spans="5:5" x14ac:dyDescent="0.3">
      <c r="E389" s="5">
        <v>594</v>
      </c>
    </row>
    <row r="390" spans="5:5" x14ac:dyDescent="0.3">
      <c r="E390" s="5">
        <v>594</v>
      </c>
    </row>
    <row r="391" spans="5:5" x14ac:dyDescent="0.3">
      <c r="E391" s="5">
        <v>594</v>
      </c>
    </row>
    <row r="392" spans="5:5" x14ac:dyDescent="0.3">
      <c r="E392" s="5">
        <v>594</v>
      </c>
    </row>
    <row r="393" spans="5:5" x14ac:dyDescent="0.3">
      <c r="E393" s="5">
        <v>594</v>
      </c>
    </row>
    <row r="394" spans="5:5" x14ac:dyDescent="0.3">
      <c r="E394" s="5">
        <v>594</v>
      </c>
    </row>
    <row r="395" spans="5:5" x14ac:dyDescent="0.3">
      <c r="E395" s="5">
        <v>594</v>
      </c>
    </row>
    <row r="396" spans="5:5" x14ac:dyDescent="0.3">
      <c r="E396" s="5">
        <v>594</v>
      </c>
    </row>
    <row r="397" spans="5:5" x14ac:dyDescent="0.3">
      <c r="E397" s="5">
        <v>594</v>
      </c>
    </row>
    <row r="398" spans="5:5" x14ac:dyDescent="0.3">
      <c r="E398" s="5">
        <v>594</v>
      </c>
    </row>
    <row r="399" spans="5:5" x14ac:dyDescent="0.3">
      <c r="E399" s="5">
        <v>594</v>
      </c>
    </row>
    <row r="400" spans="5:5" x14ac:dyDescent="0.3">
      <c r="E400" s="5">
        <v>594</v>
      </c>
    </row>
    <row r="401" spans="5:5" x14ac:dyDescent="0.3">
      <c r="E401" s="5">
        <v>594</v>
      </c>
    </row>
    <row r="402" spans="5:5" x14ac:dyDescent="0.3">
      <c r="E402" s="5">
        <v>594</v>
      </c>
    </row>
    <row r="403" spans="5:5" x14ac:dyDescent="0.3">
      <c r="E403" s="5">
        <v>594</v>
      </c>
    </row>
    <row r="404" spans="5:5" x14ac:dyDescent="0.3">
      <c r="E404" s="5">
        <v>594</v>
      </c>
    </row>
    <row r="405" spans="5:5" x14ac:dyDescent="0.3">
      <c r="E405" s="5">
        <v>594</v>
      </c>
    </row>
    <row r="406" spans="5:5" x14ac:dyDescent="0.3">
      <c r="E406" s="5">
        <v>594</v>
      </c>
    </row>
    <row r="407" spans="5:5" x14ac:dyDescent="0.3">
      <c r="E407" s="5">
        <v>594</v>
      </c>
    </row>
    <row r="408" spans="5:5" x14ac:dyDescent="0.3">
      <c r="E408" s="5">
        <v>594</v>
      </c>
    </row>
    <row r="409" spans="5:5" x14ac:dyDescent="0.3">
      <c r="E409" s="5">
        <v>594</v>
      </c>
    </row>
    <row r="410" spans="5:5" x14ac:dyDescent="0.3">
      <c r="E410" s="5">
        <v>594</v>
      </c>
    </row>
    <row r="411" spans="5:5" x14ac:dyDescent="0.3">
      <c r="E411" s="5">
        <v>594</v>
      </c>
    </row>
    <row r="412" spans="5:5" x14ac:dyDescent="0.3">
      <c r="E412" s="5">
        <v>594</v>
      </c>
    </row>
    <row r="413" spans="5:5" x14ac:dyDescent="0.3">
      <c r="E413" s="5">
        <v>594</v>
      </c>
    </row>
    <row r="414" spans="5:5" x14ac:dyDescent="0.3">
      <c r="E414" s="5">
        <v>594</v>
      </c>
    </row>
    <row r="415" spans="5:5" x14ac:dyDescent="0.3">
      <c r="E415" s="5">
        <v>594</v>
      </c>
    </row>
    <row r="416" spans="5:5" x14ac:dyDescent="0.3">
      <c r="E416" s="5">
        <v>594</v>
      </c>
    </row>
    <row r="417" spans="5:5" x14ac:dyDescent="0.3">
      <c r="E417" s="5">
        <v>594</v>
      </c>
    </row>
    <row r="418" spans="5:5" x14ac:dyDescent="0.3">
      <c r="E418" s="5">
        <v>594</v>
      </c>
    </row>
    <row r="419" spans="5:5" x14ac:dyDescent="0.3">
      <c r="E419" s="5">
        <v>594</v>
      </c>
    </row>
    <row r="420" spans="5:5" x14ac:dyDescent="0.3">
      <c r="E420" s="5">
        <v>594</v>
      </c>
    </row>
    <row r="421" spans="5:5" x14ac:dyDescent="0.3">
      <c r="E421" s="5">
        <v>594</v>
      </c>
    </row>
    <row r="422" spans="5:5" x14ac:dyDescent="0.3">
      <c r="E422" s="5">
        <v>594</v>
      </c>
    </row>
    <row r="423" spans="5:5" x14ac:dyDescent="0.3">
      <c r="E423" s="5">
        <v>594</v>
      </c>
    </row>
    <row r="424" spans="5:5" x14ac:dyDescent="0.3">
      <c r="E424" s="5">
        <v>594</v>
      </c>
    </row>
    <row r="425" spans="5:5" x14ac:dyDescent="0.3">
      <c r="E425" s="5">
        <v>594</v>
      </c>
    </row>
    <row r="426" spans="5:5" x14ac:dyDescent="0.3">
      <c r="E426" s="5">
        <v>594</v>
      </c>
    </row>
    <row r="427" spans="5:5" x14ac:dyDescent="0.3">
      <c r="E427" s="5">
        <v>594</v>
      </c>
    </row>
    <row r="428" spans="5:5" x14ac:dyDescent="0.3">
      <c r="E428" s="5">
        <v>594</v>
      </c>
    </row>
    <row r="429" spans="5:5" x14ac:dyDescent="0.3">
      <c r="E429" s="5">
        <v>594</v>
      </c>
    </row>
    <row r="430" spans="5:5" x14ac:dyDescent="0.3">
      <c r="E430" s="5">
        <v>594</v>
      </c>
    </row>
    <row r="431" spans="5:5" x14ac:dyDescent="0.3">
      <c r="E431" s="5">
        <v>594</v>
      </c>
    </row>
    <row r="432" spans="5:5" x14ac:dyDescent="0.3">
      <c r="E432" s="5">
        <v>594</v>
      </c>
    </row>
    <row r="433" spans="5:5" x14ac:dyDescent="0.3">
      <c r="E433" s="5">
        <v>594</v>
      </c>
    </row>
    <row r="434" spans="5:5" x14ac:dyDescent="0.3">
      <c r="E434" s="5">
        <v>594</v>
      </c>
    </row>
    <row r="435" spans="5:5" x14ac:dyDescent="0.3">
      <c r="E435" s="5">
        <v>594</v>
      </c>
    </row>
    <row r="436" spans="5:5" x14ac:dyDescent="0.3">
      <c r="E436" s="5">
        <v>594</v>
      </c>
    </row>
    <row r="437" spans="5:5" x14ac:dyDescent="0.3">
      <c r="E437" s="5">
        <v>594</v>
      </c>
    </row>
    <row r="438" spans="5:5" x14ac:dyDescent="0.3">
      <c r="E438" s="5">
        <v>594</v>
      </c>
    </row>
    <row r="439" spans="5:5" x14ac:dyDescent="0.3">
      <c r="E439" s="5">
        <v>594</v>
      </c>
    </row>
    <row r="440" spans="5:5" x14ac:dyDescent="0.3">
      <c r="E440" s="5">
        <v>594</v>
      </c>
    </row>
    <row r="441" spans="5:5" x14ac:dyDescent="0.3">
      <c r="E441" s="5">
        <v>594</v>
      </c>
    </row>
    <row r="442" spans="5:5" x14ac:dyDescent="0.3">
      <c r="E442" s="5">
        <v>594</v>
      </c>
    </row>
    <row r="443" spans="5:5" x14ac:dyDescent="0.3">
      <c r="E443" s="5">
        <v>594</v>
      </c>
    </row>
    <row r="444" spans="5:5" x14ac:dyDescent="0.3">
      <c r="E444" s="5">
        <v>594</v>
      </c>
    </row>
    <row r="445" spans="5:5" x14ac:dyDescent="0.3">
      <c r="E445" s="5">
        <v>594</v>
      </c>
    </row>
    <row r="446" spans="5:5" x14ac:dyDescent="0.3">
      <c r="E446" s="5">
        <v>594</v>
      </c>
    </row>
    <row r="447" spans="5:5" x14ac:dyDescent="0.3">
      <c r="E447" s="5">
        <v>594</v>
      </c>
    </row>
    <row r="448" spans="5:5" x14ac:dyDescent="0.3">
      <c r="E448" s="5">
        <v>594</v>
      </c>
    </row>
    <row r="449" spans="5:5" x14ac:dyDescent="0.3">
      <c r="E449" s="5">
        <v>594</v>
      </c>
    </row>
    <row r="450" spans="5:5" x14ac:dyDescent="0.3">
      <c r="E450" s="5">
        <v>594</v>
      </c>
    </row>
    <row r="451" spans="5:5" x14ac:dyDescent="0.3">
      <c r="E451" s="5">
        <v>594</v>
      </c>
    </row>
    <row r="452" spans="5:5" x14ac:dyDescent="0.3">
      <c r="E452" s="5">
        <v>594</v>
      </c>
    </row>
    <row r="453" spans="5:5" x14ac:dyDescent="0.3">
      <c r="E453" s="5">
        <v>594</v>
      </c>
    </row>
    <row r="454" spans="5:5" x14ac:dyDescent="0.3">
      <c r="E454" s="5">
        <v>594</v>
      </c>
    </row>
    <row r="455" spans="5:5" x14ac:dyDescent="0.3">
      <c r="E455" s="5">
        <v>594</v>
      </c>
    </row>
    <row r="456" spans="5:5" x14ac:dyDescent="0.3">
      <c r="E456" s="5">
        <v>594</v>
      </c>
    </row>
    <row r="457" spans="5:5" x14ac:dyDescent="0.3">
      <c r="E457" s="5">
        <v>594</v>
      </c>
    </row>
    <row r="458" spans="5:5" x14ac:dyDescent="0.3">
      <c r="E458" s="5">
        <v>594</v>
      </c>
    </row>
    <row r="459" spans="5:5" x14ac:dyDescent="0.3">
      <c r="E459" s="5">
        <v>594</v>
      </c>
    </row>
    <row r="460" spans="5:5" x14ac:dyDescent="0.3">
      <c r="E460" s="5">
        <v>594</v>
      </c>
    </row>
    <row r="461" spans="5:5" x14ac:dyDescent="0.3">
      <c r="E461" s="5">
        <v>594</v>
      </c>
    </row>
    <row r="462" spans="5:5" x14ac:dyDescent="0.3">
      <c r="E462" s="5">
        <v>594</v>
      </c>
    </row>
    <row r="463" spans="5:5" x14ac:dyDescent="0.3">
      <c r="E463" s="5">
        <v>594</v>
      </c>
    </row>
    <row r="464" spans="5:5" x14ac:dyDescent="0.3">
      <c r="E464" s="5">
        <v>594</v>
      </c>
    </row>
    <row r="465" spans="5:5" x14ac:dyDescent="0.3">
      <c r="E465" s="5">
        <v>594</v>
      </c>
    </row>
    <row r="466" spans="5:5" x14ac:dyDescent="0.3">
      <c r="E466" s="5">
        <v>594</v>
      </c>
    </row>
    <row r="467" spans="5:5" x14ac:dyDescent="0.3">
      <c r="E467" s="5">
        <v>594</v>
      </c>
    </row>
    <row r="468" spans="5:5" x14ac:dyDescent="0.3">
      <c r="E468" s="5">
        <v>594</v>
      </c>
    </row>
    <row r="469" spans="5:5" x14ac:dyDescent="0.3">
      <c r="E469" s="5">
        <v>594</v>
      </c>
    </row>
    <row r="470" spans="5:5" x14ac:dyDescent="0.3">
      <c r="E470" s="5">
        <v>594</v>
      </c>
    </row>
    <row r="471" spans="5:5" x14ac:dyDescent="0.3">
      <c r="E471" s="5">
        <v>594</v>
      </c>
    </row>
    <row r="472" spans="5:5" x14ac:dyDescent="0.3">
      <c r="E472" s="5">
        <v>594</v>
      </c>
    </row>
    <row r="473" spans="5:5" x14ac:dyDescent="0.3">
      <c r="E473" s="5">
        <v>594</v>
      </c>
    </row>
    <row r="474" spans="5:5" x14ac:dyDescent="0.3">
      <c r="E474" s="5">
        <v>594</v>
      </c>
    </row>
    <row r="475" spans="5:5" x14ac:dyDescent="0.3">
      <c r="E475" s="5">
        <v>594</v>
      </c>
    </row>
    <row r="476" spans="5:5" x14ac:dyDescent="0.3">
      <c r="E476" s="5">
        <v>594</v>
      </c>
    </row>
    <row r="477" spans="5:5" x14ac:dyDescent="0.3">
      <c r="E477" s="5">
        <v>594</v>
      </c>
    </row>
    <row r="478" spans="5:5" x14ac:dyDescent="0.3">
      <c r="E478" s="5">
        <v>594</v>
      </c>
    </row>
    <row r="479" spans="5:5" x14ac:dyDescent="0.3">
      <c r="E479" s="5">
        <v>594</v>
      </c>
    </row>
    <row r="480" spans="5:5" x14ac:dyDescent="0.3">
      <c r="E480" s="5">
        <v>594</v>
      </c>
    </row>
    <row r="481" spans="5:5" x14ac:dyDescent="0.3">
      <c r="E481" s="5">
        <v>594</v>
      </c>
    </row>
    <row r="482" spans="5:5" x14ac:dyDescent="0.3">
      <c r="E482" s="5">
        <v>594</v>
      </c>
    </row>
    <row r="483" spans="5:5" x14ac:dyDescent="0.3">
      <c r="E483" s="5">
        <v>594</v>
      </c>
    </row>
    <row r="484" spans="5:5" x14ac:dyDescent="0.3">
      <c r="E484" s="5">
        <v>594</v>
      </c>
    </row>
    <row r="485" spans="5:5" x14ac:dyDescent="0.3">
      <c r="E485" s="5">
        <v>594</v>
      </c>
    </row>
    <row r="486" spans="5:5" x14ac:dyDescent="0.3">
      <c r="E486" s="5">
        <v>594</v>
      </c>
    </row>
    <row r="487" spans="5:5" x14ac:dyDescent="0.3">
      <c r="E487" s="5">
        <v>594</v>
      </c>
    </row>
    <row r="488" spans="5:5" x14ac:dyDescent="0.3">
      <c r="E488" s="5">
        <v>594</v>
      </c>
    </row>
    <row r="489" spans="5:5" x14ac:dyDescent="0.3">
      <c r="E489" s="5">
        <v>594</v>
      </c>
    </row>
    <row r="490" spans="5:5" x14ac:dyDescent="0.3">
      <c r="E490" s="5">
        <v>594</v>
      </c>
    </row>
    <row r="491" spans="5:5" x14ac:dyDescent="0.3">
      <c r="E491" s="5">
        <v>594</v>
      </c>
    </row>
    <row r="492" spans="5:5" x14ac:dyDescent="0.3">
      <c r="E492" s="5">
        <v>594</v>
      </c>
    </row>
    <row r="493" spans="5:5" x14ac:dyDescent="0.3">
      <c r="E493" s="5">
        <v>594</v>
      </c>
    </row>
    <row r="494" spans="5:5" x14ac:dyDescent="0.3">
      <c r="E494" s="5">
        <v>594</v>
      </c>
    </row>
    <row r="495" spans="5:5" x14ac:dyDescent="0.3">
      <c r="E495" s="5">
        <v>594</v>
      </c>
    </row>
    <row r="496" spans="5:5" x14ac:dyDescent="0.3">
      <c r="E496" s="5">
        <v>594</v>
      </c>
    </row>
    <row r="497" spans="5:5" x14ac:dyDescent="0.3">
      <c r="E497" s="5">
        <v>594</v>
      </c>
    </row>
    <row r="498" spans="5:5" x14ac:dyDescent="0.3">
      <c r="E498" s="5">
        <v>594</v>
      </c>
    </row>
    <row r="499" spans="5:5" x14ac:dyDescent="0.3">
      <c r="E499" s="5">
        <v>594</v>
      </c>
    </row>
    <row r="500" spans="5:5" x14ac:dyDescent="0.3">
      <c r="E500" s="5">
        <v>594</v>
      </c>
    </row>
    <row r="501" spans="5:5" x14ac:dyDescent="0.3">
      <c r="E501" s="5">
        <v>594</v>
      </c>
    </row>
    <row r="502" spans="5:5" x14ac:dyDescent="0.3">
      <c r="E502" s="5">
        <v>594</v>
      </c>
    </row>
    <row r="503" spans="5:5" x14ac:dyDescent="0.3">
      <c r="E503" s="5">
        <v>594</v>
      </c>
    </row>
    <row r="504" spans="5:5" x14ac:dyDescent="0.3">
      <c r="E504" s="5">
        <v>594</v>
      </c>
    </row>
    <row r="505" spans="5:5" x14ac:dyDescent="0.3">
      <c r="E505" s="5">
        <v>594</v>
      </c>
    </row>
    <row r="506" spans="5:5" x14ac:dyDescent="0.3">
      <c r="E506" s="5">
        <v>594</v>
      </c>
    </row>
    <row r="507" spans="5:5" x14ac:dyDescent="0.3">
      <c r="E507" s="5">
        <v>594</v>
      </c>
    </row>
    <row r="508" spans="5:5" x14ac:dyDescent="0.3">
      <c r="E508" s="5">
        <v>594</v>
      </c>
    </row>
    <row r="509" spans="5:5" x14ac:dyDescent="0.3">
      <c r="E509" s="5">
        <v>594</v>
      </c>
    </row>
  </sheetData>
  <mergeCells count="1">
    <mergeCell ref="A1:S3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zoomScale="60" zoomScaleNormal="60" workbookViewId="0">
      <selection activeCell="Q37" sqref="Q37"/>
    </sheetView>
  </sheetViews>
  <sheetFormatPr defaultRowHeight="14.4" x14ac:dyDescent="0.3"/>
  <cols>
    <col min="1" max="1" width="31.88671875" bestFit="1" customWidth="1"/>
    <col min="2" max="2" width="14.6640625" customWidth="1"/>
    <col min="3" max="3" width="14.5546875" customWidth="1"/>
    <col min="4" max="4" width="12.21875" customWidth="1"/>
    <col min="5" max="5" width="13.21875" customWidth="1"/>
    <col min="6" max="6" width="14.33203125" style="5" customWidth="1"/>
    <col min="7" max="7" width="20.77734375" style="5" bestFit="1" customWidth="1"/>
    <col min="8" max="8" width="15.44140625" bestFit="1" customWidth="1"/>
    <col min="9" max="9" width="8.88671875" style="11"/>
  </cols>
  <sheetData>
    <row r="1" spans="1:10" x14ac:dyDescent="0.3">
      <c r="A1" s="30" t="s">
        <v>127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x14ac:dyDescent="0.3">
      <c r="A2" s="26"/>
      <c r="B2" s="26"/>
      <c r="C2" s="26"/>
      <c r="D2" s="26"/>
      <c r="E2" s="26"/>
      <c r="F2" s="26"/>
      <c r="G2" s="26"/>
      <c r="H2" s="26"/>
      <c r="I2" s="26"/>
      <c r="J2" s="26"/>
    </row>
    <row r="3" spans="1:10" x14ac:dyDescent="0.3">
      <c r="A3" s="26"/>
      <c r="B3" s="26"/>
      <c r="C3" s="26"/>
      <c r="D3" s="26"/>
      <c r="E3" s="26"/>
      <c r="F3" s="26"/>
      <c r="G3" s="26"/>
      <c r="H3" s="26"/>
      <c r="I3" s="26"/>
      <c r="J3" s="26"/>
    </row>
    <row r="5" spans="1:10" s="6" customFormat="1" x14ac:dyDescent="0.3">
      <c r="A5" s="6" t="s">
        <v>110</v>
      </c>
      <c r="B5" s="6" t="s">
        <v>111</v>
      </c>
      <c r="C5" s="6" t="s">
        <v>112</v>
      </c>
      <c r="D5" s="6" t="s">
        <v>113</v>
      </c>
      <c r="E5" s="6" t="s">
        <v>114</v>
      </c>
      <c r="F5" s="8" t="s">
        <v>115</v>
      </c>
      <c r="G5" s="9" t="s">
        <v>116</v>
      </c>
      <c r="H5" s="6" t="s">
        <v>123</v>
      </c>
      <c r="I5" s="9" t="s">
        <v>126</v>
      </c>
    </row>
    <row r="6" spans="1:10" x14ac:dyDescent="0.3">
      <c r="A6" s="5">
        <v>2000262034</v>
      </c>
      <c r="B6" s="5" t="s">
        <v>53</v>
      </c>
      <c r="C6">
        <f>IFERROR(VLOOKUP(A6,Sheet2!B:E,4,FALSE),0)</f>
        <v>5.8</v>
      </c>
      <c r="D6">
        <f>IFERROR(VLOOKUP(A6,Sheet1!A:D,4,FALSE),0)</f>
        <v>4</v>
      </c>
      <c r="E6">
        <f t="shared" ref="E6:E39" si="0">C6 - D6</f>
        <v>1.7999999999999998</v>
      </c>
      <c r="F6" s="5" t="str">
        <f t="shared" ref="F6:F39" si="1">IF(D6=C6,"Matched",
IF(D6=0,"Missing",
IF(D6&gt;C6,"Extra","Short")))</f>
        <v>Short</v>
      </c>
      <c r="G6" s="10" t="str">
        <f>IFERROR(IF(B6=VLOOKUP(A6,Sheet1!A:C,3,FALSE),"Correct Location","Misplaced"),"Not Found Data")</f>
        <v>Correct Location</v>
      </c>
      <c r="H6" s="7" t="str">
        <f t="shared" ref="H6:H39" si="2">IF(F6="Missing","System Issue",
IF(F6="Extra","Excess Inventory",
IF(G6="Misplaced","Location Error","OK")))</f>
        <v>OK</v>
      </c>
      <c r="I6" s="10" t="str">
        <f t="shared" ref="I6:I39" si="3">LEFT(B6,4)</f>
        <v>DY07</v>
      </c>
    </row>
    <row r="7" spans="1:10" x14ac:dyDescent="0.3">
      <c r="A7" s="5">
        <v>2000303221</v>
      </c>
      <c r="B7" s="5" t="s">
        <v>14</v>
      </c>
      <c r="C7">
        <f>IFERROR(VLOOKUP(A7,Sheet2!B:E,4,FALSE),0)</f>
        <v>19.84</v>
      </c>
      <c r="D7">
        <f>IFERROR(VLOOKUP(A7,Sheet1!A:D,4,FALSE),0)</f>
        <v>2</v>
      </c>
      <c r="E7">
        <f t="shared" si="0"/>
        <v>17.84</v>
      </c>
      <c r="F7" s="5" t="str">
        <f t="shared" si="1"/>
        <v>Short</v>
      </c>
      <c r="G7" s="10" t="str">
        <f>IFERROR(IF(B7=VLOOKUP(A7,Sheet1!A:C,3,FALSE),"Correct Location","Misplaced"),"Not Found Data")</f>
        <v>Correct Location</v>
      </c>
      <c r="H7" s="7" t="str">
        <f t="shared" si="2"/>
        <v>OK</v>
      </c>
      <c r="I7" s="10" t="str">
        <f t="shared" si="3"/>
        <v>DY05</v>
      </c>
    </row>
    <row r="8" spans="1:10" x14ac:dyDescent="0.3">
      <c r="A8" s="5">
        <v>2001512954</v>
      </c>
      <c r="B8" s="5" t="s">
        <v>54</v>
      </c>
      <c r="C8">
        <f>IFERROR(VLOOKUP(A8,Sheet2!B:E,4,FALSE),0)</f>
        <v>25</v>
      </c>
      <c r="D8">
        <f>IFERROR(VLOOKUP(A8,Sheet1!A:D,4,FALSE),0)</f>
        <v>78</v>
      </c>
      <c r="E8">
        <f t="shared" si="0"/>
        <v>-53</v>
      </c>
      <c r="F8" s="5" t="str">
        <f t="shared" si="1"/>
        <v>Extra</v>
      </c>
      <c r="G8" s="10" t="str">
        <f>IFERROR(IF(B8=VLOOKUP(A8,Sheet1!A:C,3,FALSE),"Correct Location","Misplaced"),"Not Found Data")</f>
        <v>Correct Location</v>
      </c>
      <c r="H8" s="7" t="str">
        <f t="shared" si="2"/>
        <v>Excess Inventory</v>
      </c>
      <c r="I8" s="10" t="str">
        <f t="shared" si="3"/>
        <v>DY06</v>
      </c>
    </row>
    <row r="9" spans="1:10" x14ac:dyDescent="0.3">
      <c r="A9" s="5">
        <v>2485739012</v>
      </c>
      <c r="B9" s="5" t="s">
        <v>55</v>
      </c>
      <c r="C9">
        <f>IFERROR(VLOOKUP(A9,Sheet2!B:E,4,FALSE),0)</f>
        <v>3.2</v>
      </c>
      <c r="D9">
        <f>IFERROR(VLOOKUP(A9,Sheet1!A:D,4,FALSE),0)</f>
        <v>24</v>
      </c>
      <c r="E9">
        <f t="shared" si="0"/>
        <v>-20.8</v>
      </c>
      <c r="F9" s="5" t="str">
        <f t="shared" si="1"/>
        <v>Extra</v>
      </c>
      <c r="G9" s="10" t="str">
        <f>IFERROR(IF(B9=VLOOKUP(A9,Sheet1!A:C,3,FALSE),"Correct Location","Misplaced"),"Not Found Data")</f>
        <v>Correct Location</v>
      </c>
      <c r="H9" s="7" t="str">
        <f t="shared" si="2"/>
        <v>Excess Inventory</v>
      </c>
      <c r="I9" s="10" t="str">
        <f t="shared" si="3"/>
        <v>DY08</v>
      </c>
    </row>
    <row r="10" spans="1:10" x14ac:dyDescent="0.3">
      <c r="A10" s="5">
        <v>8247619053</v>
      </c>
      <c r="B10" s="5" t="s">
        <v>56</v>
      </c>
      <c r="C10">
        <f>IFERROR(VLOOKUP(A10,Sheet2!B:E,4,FALSE),0)</f>
        <v>26</v>
      </c>
      <c r="D10">
        <f>IFERROR(VLOOKUP(A10,Sheet1!A:D,4,FALSE),0)</f>
        <v>2</v>
      </c>
      <c r="E10">
        <f t="shared" si="0"/>
        <v>24</v>
      </c>
      <c r="F10" s="5" t="str">
        <f t="shared" si="1"/>
        <v>Short</v>
      </c>
      <c r="G10" s="10" t="str">
        <f>IFERROR(IF(B10=VLOOKUP(A10,Sheet1!A:C,3,FALSE),"Correct Location","Misplaced"),"Not Found Data")</f>
        <v>Misplaced</v>
      </c>
      <c r="H10" s="7" t="str">
        <f t="shared" si="2"/>
        <v>Location Error</v>
      </c>
      <c r="I10" s="10" t="str">
        <f t="shared" si="3"/>
        <v>DY01</v>
      </c>
    </row>
    <row r="11" spans="1:10" x14ac:dyDescent="0.3">
      <c r="A11" s="5">
        <v>4182765093</v>
      </c>
      <c r="B11" s="5" t="s">
        <v>57</v>
      </c>
      <c r="C11">
        <f>IFERROR(VLOOKUP(A11,Sheet2!B:E,4,FALSE),0)</f>
        <v>25</v>
      </c>
      <c r="D11">
        <f>IFERROR(VLOOKUP(A11,Sheet1!A:D,4,FALSE),0)</f>
        <v>25</v>
      </c>
      <c r="E11">
        <f t="shared" si="0"/>
        <v>0</v>
      </c>
      <c r="F11" s="5" t="str">
        <f t="shared" si="1"/>
        <v>Matched</v>
      </c>
      <c r="G11" s="10" t="str">
        <f>IFERROR(IF(B11=VLOOKUP(A11,Sheet1!A:C,3,FALSE),"Correct Location","Misplaced"),"Not Found Data")</f>
        <v>Misplaced</v>
      </c>
      <c r="H11" s="7" t="str">
        <f t="shared" si="2"/>
        <v>Location Error</v>
      </c>
      <c r="I11" s="10" t="str">
        <f t="shared" si="3"/>
        <v>DY36</v>
      </c>
    </row>
    <row r="12" spans="1:10" x14ac:dyDescent="0.3">
      <c r="A12" s="5">
        <v>8625930174</v>
      </c>
      <c r="B12" s="5" t="s">
        <v>58</v>
      </c>
      <c r="C12">
        <f>IFERROR(VLOOKUP(A12,Sheet2!B:E,4,FALSE),0)</f>
        <v>48</v>
      </c>
      <c r="D12">
        <f>IFERROR(VLOOKUP(A12,Sheet1!A:D,4,FALSE),0)</f>
        <v>59</v>
      </c>
      <c r="E12">
        <f t="shared" si="0"/>
        <v>-11</v>
      </c>
      <c r="F12" s="5" t="str">
        <f t="shared" si="1"/>
        <v>Extra</v>
      </c>
      <c r="G12" s="10" t="str">
        <f>IFERROR(IF(B12=VLOOKUP(A12,Sheet1!A:C,3,FALSE),"Correct Location","Misplaced"),"Not Found Data")</f>
        <v>Misplaced</v>
      </c>
      <c r="H12" s="7" t="str">
        <f t="shared" si="2"/>
        <v>Excess Inventory</v>
      </c>
      <c r="I12" s="10" t="str">
        <f t="shared" si="3"/>
        <v>DY19</v>
      </c>
    </row>
    <row r="13" spans="1:10" x14ac:dyDescent="0.3">
      <c r="A13" s="5">
        <v>4802759136</v>
      </c>
      <c r="B13" s="5" t="s">
        <v>59</v>
      </c>
      <c r="C13">
        <f>IFERROR(VLOOKUP(A13,Sheet2!B:E,4,FALSE),0)</f>
        <v>67</v>
      </c>
      <c r="D13">
        <f>IFERROR(VLOOKUP(A13,Sheet1!A:D,4,FALSE),0)</f>
        <v>0</v>
      </c>
      <c r="E13">
        <f t="shared" si="0"/>
        <v>67</v>
      </c>
      <c r="F13" s="5" t="str">
        <f t="shared" si="1"/>
        <v>Missing</v>
      </c>
      <c r="G13" s="10" t="str">
        <f>IFERROR(IF(B13=VLOOKUP(A13,Sheet1!A:C,3,FALSE),"Correct Location","Misplaced"),"Not Found Data")</f>
        <v>Not Found Data</v>
      </c>
      <c r="H13" s="7" t="str">
        <f t="shared" si="2"/>
        <v>System Issue</v>
      </c>
      <c r="I13" s="10" t="str">
        <f t="shared" si="3"/>
        <v>DY01</v>
      </c>
    </row>
    <row r="14" spans="1:10" x14ac:dyDescent="0.3">
      <c r="A14" s="5">
        <v>2841736905</v>
      </c>
      <c r="B14" s="5" t="s">
        <v>60</v>
      </c>
      <c r="C14">
        <f>IFERROR(VLOOKUP(A14,Sheet2!B:E,4,FALSE),0)</f>
        <v>9</v>
      </c>
      <c r="D14">
        <f>IFERROR(VLOOKUP(A14,Sheet1!A:D,4,FALSE),0)</f>
        <v>2</v>
      </c>
      <c r="E14">
        <f t="shared" si="0"/>
        <v>7</v>
      </c>
      <c r="F14" s="5" t="str">
        <f t="shared" si="1"/>
        <v>Short</v>
      </c>
      <c r="G14" s="10" t="str">
        <f>IFERROR(IF(B14=VLOOKUP(A14,Sheet1!A:C,3,FALSE),"Correct Location","Misplaced"),"Not Found Data")</f>
        <v>Misplaced</v>
      </c>
      <c r="H14" s="7" t="str">
        <f t="shared" si="2"/>
        <v>Location Error</v>
      </c>
      <c r="I14" s="10" t="str">
        <f t="shared" si="3"/>
        <v>DY07</v>
      </c>
    </row>
    <row r="15" spans="1:10" x14ac:dyDescent="0.3">
      <c r="A15" s="5">
        <v>8652147039</v>
      </c>
      <c r="B15" s="5" t="s">
        <v>61</v>
      </c>
      <c r="C15">
        <f>IFERROR(VLOOKUP(A15,Sheet2!B:E,4,FALSE),0)</f>
        <v>5</v>
      </c>
      <c r="D15">
        <f>IFERROR(VLOOKUP(A15,Sheet1!A:D,4,FALSE),0)</f>
        <v>18</v>
      </c>
      <c r="E15">
        <f t="shared" si="0"/>
        <v>-13</v>
      </c>
      <c r="F15" s="5" t="str">
        <f t="shared" si="1"/>
        <v>Extra</v>
      </c>
      <c r="G15" s="10" t="str">
        <f>IFERROR(IF(B15=VLOOKUP(A15,Sheet1!A:C,3,FALSE),"Correct Location","Misplaced"),"Not Found Data")</f>
        <v>Misplaced</v>
      </c>
      <c r="H15" s="7" t="str">
        <f t="shared" si="2"/>
        <v>Excess Inventory</v>
      </c>
      <c r="I15" s="10" t="str">
        <f t="shared" si="3"/>
        <v>DY05</v>
      </c>
    </row>
    <row r="16" spans="1:10" x14ac:dyDescent="0.3">
      <c r="A16" s="5">
        <v>4826037195</v>
      </c>
      <c r="B16" s="5" t="s">
        <v>62</v>
      </c>
      <c r="C16">
        <f>IFERROR(VLOOKUP(A16,Sheet2!B:E,4,FALSE),0)</f>
        <v>9</v>
      </c>
      <c r="D16">
        <f>IFERROR(VLOOKUP(A16,Sheet1!A:D,4,FALSE),0)</f>
        <v>1</v>
      </c>
      <c r="E16">
        <f t="shared" si="0"/>
        <v>8</v>
      </c>
      <c r="F16" s="5" t="str">
        <f t="shared" si="1"/>
        <v>Short</v>
      </c>
      <c r="G16" s="10" t="str">
        <f>IFERROR(IF(B16=VLOOKUP(A16,Sheet1!A:C,3,FALSE),"Correct Location","Misplaced"),"Not Found Data")</f>
        <v>Misplaced</v>
      </c>
      <c r="H16" s="7" t="str">
        <f t="shared" si="2"/>
        <v>Location Error</v>
      </c>
      <c r="I16" s="10" t="str">
        <f t="shared" si="3"/>
        <v>DY06</v>
      </c>
    </row>
    <row r="17" spans="1:9" x14ac:dyDescent="0.3">
      <c r="A17" s="5">
        <v>2847509132</v>
      </c>
      <c r="B17" s="5" t="s">
        <v>63</v>
      </c>
      <c r="C17">
        <f>IFERROR(VLOOKUP(A17,Sheet2!B:E,4,FALSE),0)</f>
        <v>27</v>
      </c>
      <c r="D17">
        <f>IFERROR(VLOOKUP(A17,Sheet1!A:D,4,FALSE),0)</f>
        <v>2</v>
      </c>
      <c r="E17">
        <f t="shared" si="0"/>
        <v>25</v>
      </c>
      <c r="F17" s="5" t="str">
        <f t="shared" si="1"/>
        <v>Short</v>
      </c>
      <c r="G17" s="10" t="str">
        <f>IFERROR(IF(B17=VLOOKUP(A17,Sheet1!A:C,3,FALSE),"Correct Location","Misplaced"),"Not Found Data")</f>
        <v>Misplaced</v>
      </c>
      <c r="H17" s="7" t="str">
        <f t="shared" si="2"/>
        <v>Location Error</v>
      </c>
      <c r="I17" s="10" t="str">
        <f t="shared" si="3"/>
        <v>DY08</v>
      </c>
    </row>
    <row r="18" spans="1:9" x14ac:dyDescent="0.3">
      <c r="A18" s="5">
        <v>8617425093</v>
      </c>
      <c r="B18" s="5" t="s">
        <v>64</v>
      </c>
      <c r="C18">
        <f>IFERROR(VLOOKUP(A18,Sheet2!B:E,4,FALSE),0)</f>
        <v>49</v>
      </c>
      <c r="D18">
        <f>IFERROR(VLOOKUP(A18,Sheet1!A:D,4,FALSE),0)</f>
        <v>0</v>
      </c>
      <c r="E18">
        <f t="shared" si="0"/>
        <v>49</v>
      </c>
      <c r="F18" s="5" t="str">
        <f t="shared" si="1"/>
        <v>Missing</v>
      </c>
      <c r="G18" s="10" t="str">
        <f>IFERROR(IF(B18=VLOOKUP(A18,Sheet1!A:C,3,FALSE),"Correct Location","Misplaced"),"Not Found Data")</f>
        <v>Not Found Data</v>
      </c>
      <c r="H18" s="7" t="str">
        <f t="shared" si="2"/>
        <v>System Issue</v>
      </c>
      <c r="I18" s="10" t="str">
        <f t="shared" si="3"/>
        <v>DY01</v>
      </c>
    </row>
    <row r="19" spans="1:9" x14ac:dyDescent="0.3">
      <c r="A19" s="5">
        <v>4809273516</v>
      </c>
      <c r="B19" s="5" t="s">
        <v>65</v>
      </c>
      <c r="C19">
        <f>IFERROR(VLOOKUP(A19,Sheet2!B:E,4,FALSE),0)</f>
        <v>55</v>
      </c>
      <c r="D19">
        <f>IFERROR(VLOOKUP(A19,Sheet1!A:D,4,FALSE),0)</f>
        <v>55</v>
      </c>
      <c r="E19">
        <f t="shared" si="0"/>
        <v>0</v>
      </c>
      <c r="F19" s="5" t="str">
        <f t="shared" si="1"/>
        <v>Matched</v>
      </c>
      <c r="G19" s="10" t="str">
        <f>IFERROR(IF(B19=VLOOKUP(A19,Sheet1!A:C,3,FALSE),"Correct Location","Misplaced"),"Not Found Data")</f>
        <v>Misplaced</v>
      </c>
      <c r="H19" s="7" t="str">
        <f t="shared" si="2"/>
        <v>Location Error</v>
      </c>
      <c r="I19" s="10" t="str">
        <f t="shared" si="3"/>
        <v>DY36</v>
      </c>
    </row>
    <row r="20" spans="1:9" x14ac:dyDescent="0.3">
      <c r="A20" s="5">
        <v>2845097316</v>
      </c>
      <c r="B20" s="5" t="s">
        <v>66</v>
      </c>
      <c r="C20">
        <f>IFERROR(VLOOKUP(A20,Sheet2!B:E,4,FALSE),0)</f>
        <v>25</v>
      </c>
      <c r="D20">
        <f>IFERROR(VLOOKUP(A20,Sheet1!A:D,4,FALSE),0)</f>
        <v>198</v>
      </c>
      <c r="E20">
        <f t="shared" si="0"/>
        <v>-173</v>
      </c>
      <c r="F20" s="5" t="str">
        <f t="shared" si="1"/>
        <v>Extra</v>
      </c>
      <c r="G20" s="10" t="str">
        <f>IFERROR(IF(B20=VLOOKUP(A20,Sheet1!A:C,3,FALSE),"Correct Location","Misplaced"),"Not Found Data")</f>
        <v>Misplaced</v>
      </c>
      <c r="H20" s="7" t="str">
        <f t="shared" si="2"/>
        <v>Excess Inventory</v>
      </c>
      <c r="I20" s="10" t="str">
        <f t="shared" si="3"/>
        <v>DY19</v>
      </c>
    </row>
    <row r="21" spans="1:9" x14ac:dyDescent="0.3">
      <c r="A21" s="5">
        <v>8620457139</v>
      </c>
      <c r="B21" s="5" t="s">
        <v>67</v>
      </c>
      <c r="C21">
        <f>IFERROR(VLOOKUP(A21,Sheet2!B:E,4,FALSE),0)</f>
        <v>225</v>
      </c>
      <c r="D21">
        <f>IFERROR(VLOOKUP(A21,Sheet1!A:D,4,FALSE),0)</f>
        <v>618</v>
      </c>
      <c r="E21">
        <f t="shared" si="0"/>
        <v>-393</v>
      </c>
      <c r="F21" s="5" t="str">
        <f t="shared" si="1"/>
        <v>Extra</v>
      </c>
      <c r="G21" s="10" t="str">
        <f>IFERROR(IF(B21=VLOOKUP(A21,Sheet1!A:C,3,FALSE),"Correct Location","Misplaced"),"Not Found Data")</f>
        <v>Misplaced</v>
      </c>
      <c r="H21" s="7" t="str">
        <f t="shared" si="2"/>
        <v>Excess Inventory</v>
      </c>
      <c r="I21" s="10" t="str">
        <f t="shared" si="3"/>
        <v>DY01</v>
      </c>
    </row>
    <row r="22" spans="1:9" x14ac:dyDescent="0.3">
      <c r="A22" s="5">
        <v>4827169053</v>
      </c>
      <c r="B22" s="5" t="s">
        <v>68</v>
      </c>
      <c r="C22">
        <f>IFERROR(VLOOKUP(A22,Sheet2!B:E,4,FALSE),0)</f>
        <v>250</v>
      </c>
      <c r="D22">
        <f>IFERROR(VLOOKUP(A22,Sheet1!A:D,4,FALSE),0)</f>
        <v>1</v>
      </c>
      <c r="E22">
        <f t="shared" si="0"/>
        <v>249</v>
      </c>
      <c r="F22" s="5" t="str">
        <f t="shared" si="1"/>
        <v>Short</v>
      </c>
      <c r="G22" s="10" t="str">
        <f>IFERROR(IF(B22=VLOOKUP(A22,Sheet1!A:C,3,FALSE),"Correct Location","Misplaced"),"Not Found Data")</f>
        <v>Misplaced</v>
      </c>
      <c r="H22" s="7" t="str">
        <f t="shared" si="2"/>
        <v>Location Error</v>
      </c>
      <c r="I22" s="10" t="str">
        <f t="shared" si="3"/>
        <v>DY07</v>
      </c>
    </row>
    <row r="23" spans="1:9" x14ac:dyDescent="0.3">
      <c r="A23" s="5">
        <v>8243509716</v>
      </c>
      <c r="B23" s="5" t="s">
        <v>69</v>
      </c>
      <c r="C23">
        <f>IFERROR(VLOOKUP(A23,Sheet2!B:E,4,FALSE),0)</f>
        <v>25</v>
      </c>
      <c r="D23">
        <f>IFERROR(VLOOKUP(A23,Sheet1!A:D,4,FALSE),0)</f>
        <v>0</v>
      </c>
      <c r="E23">
        <f t="shared" si="0"/>
        <v>25</v>
      </c>
      <c r="F23" s="5" t="str">
        <f t="shared" si="1"/>
        <v>Missing</v>
      </c>
      <c r="G23" s="10" t="str">
        <f>IFERROR(IF(B23=VLOOKUP(A23,Sheet1!A:C,3,FALSE),"Correct Location","Misplaced"),"Not Found Data")</f>
        <v>Not Found Data</v>
      </c>
      <c r="H23" s="7" t="str">
        <f t="shared" si="2"/>
        <v>System Issue</v>
      </c>
      <c r="I23" s="10" t="str">
        <f t="shared" si="3"/>
        <v>DY05</v>
      </c>
    </row>
    <row r="24" spans="1:9" x14ac:dyDescent="0.3">
      <c r="A24" s="5">
        <v>2846197350</v>
      </c>
      <c r="B24" s="5" t="s">
        <v>70</v>
      </c>
      <c r="C24">
        <f>IFERROR(VLOOKUP(A24,Sheet2!B:E,4,FALSE),0)</f>
        <v>54</v>
      </c>
      <c r="D24">
        <f>IFERROR(VLOOKUP(A24,Sheet1!A:D,4,FALSE),0)</f>
        <v>0</v>
      </c>
      <c r="E24">
        <f t="shared" si="0"/>
        <v>54</v>
      </c>
      <c r="F24" s="5" t="str">
        <f t="shared" si="1"/>
        <v>Missing</v>
      </c>
      <c r="G24" s="10" t="str">
        <f>IFERROR(IF(B24=VLOOKUP(A24,Sheet1!A:C,3,FALSE),"Correct Location","Misplaced"),"Not Found Data")</f>
        <v>Not Found Data</v>
      </c>
      <c r="H24" s="7" t="str">
        <f t="shared" si="2"/>
        <v>System Issue</v>
      </c>
      <c r="I24" s="10" t="str">
        <f t="shared" si="3"/>
        <v>DY06</v>
      </c>
    </row>
    <row r="25" spans="1:9" x14ac:dyDescent="0.3">
      <c r="A25" s="5">
        <v>4189052736</v>
      </c>
      <c r="B25" s="5" t="s">
        <v>71</v>
      </c>
      <c r="C25">
        <f>IFERROR(VLOOKUP(A25,Sheet2!B:E,4,FALSE),0)</f>
        <v>51</v>
      </c>
      <c r="D25">
        <f>IFERROR(VLOOKUP(A25,Sheet1!A:D,4,FALSE),0)</f>
        <v>0</v>
      </c>
      <c r="E25">
        <f t="shared" si="0"/>
        <v>51</v>
      </c>
      <c r="F25" s="5" t="str">
        <f t="shared" si="1"/>
        <v>Missing</v>
      </c>
      <c r="G25" s="10" t="str">
        <f>IFERROR(IF(B25=VLOOKUP(A25,Sheet1!A:C,3,FALSE),"Correct Location","Misplaced"),"Not Found Data")</f>
        <v>Not Found Data</v>
      </c>
      <c r="H25" s="7" t="str">
        <f t="shared" si="2"/>
        <v>System Issue</v>
      </c>
      <c r="I25" s="10" t="str">
        <f t="shared" si="3"/>
        <v>DY08</v>
      </c>
    </row>
    <row r="26" spans="1:9" x14ac:dyDescent="0.3">
      <c r="A26" s="5">
        <v>8631742095</v>
      </c>
      <c r="B26" s="5" t="s">
        <v>72</v>
      </c>
      <c r="C26">
        <f>IFERROR(VLOOKUP(A26,Sheet2!B:E,4,FALSE),0)</f>
        <v>21</v>
      </c>
      <c r="D26">
        <f>IFERROR(VLOOKUP(A26,Sheet1!A:D,4,FALSE),0)</f>
        <v>2</v>
      </c>
      <c r="E26">
        <f t="shared" si="0"/>
        <v>19</v>
      </c>
      <c r="F26" s="5" t="str">
        <f t="shared" si="1"/>
        <v>Short</v>
      </c>
      <c r="G26" s="10" t="str">
        <f>IFERROR(IF(B26=VLOOKUP(A26,Sheet1!A:C,3,FALSE),"Correct Location","Misplaced"),"Not Found Data")</f>
        <v>Misplaced</v>
      </c>
      <c r="H26" s="7" t="str">
        <f t="shared" si="2"/>
        <v>Location Error</v>
      </c>
      <c r="I26" s="10" t="str">
        <f t="shared" si="3"/>
        <v>DY01</v>
      </c>
    </row>
    <row r="27" spans="1:9" x14ac:dyDescent="0.3">
      <c r="A27" s="5">
        <v>2496810357</v>
      </c>
      <c r="B27" s="5" t="s">
        <v>73</v>
      </c>
      <c r="C27">
        <f>IFERROR(VLOOKUP(A27,Sheet2!B:E,4,FALSE),0)</f>
        <v>15</v>
      </c>
      <c r="D27">
        <f>IFERROR(VLOOKUP(A27,Sheet1!A:D,4,FALSE),0)</f>
        <v>0</v>
      </c>
      <c r="E27">
        <f t="shared" si="0"/>
        <v>15</v>
      </c>
      <c r="F27" s="5" t="str">
        <f t="shared" si="1"/>
        <v>Missing</v>
      </c>
      <c r="G27" s="10" t="str">
        <f>IFERROR(IF(B27=VLOOKUP(A27,Sheet1!A:C,3,FALSE),"Correct Location","Misplaced"),"Not Found Data")</f>
        <v>Not Found Data</v>
      </c>
      <c r="H27" s="7" t="str">
        <f t="shared" si="2"/>
        <v>System Issue</v>
      </c>
      <c r="I27" s="10" t="str">
        <f t="shared" si="3"/>
        <v>DY36</v>
      </c>
    </row>
    <row r="28" spans="1:9" x14ac:dyDescent="0.3">
      <c r="A28" s="5">
        <v>8239507164</v>
      </c>
      <c r="B28" s="5" t="s">
        <v>74</v>
      </c>
      <c r="C28">
        <f>IFERROR(VLOOKUP(A28,Sheet2!B:E,4,FALSE),0)</f>
        <v>36</v>
      </c>
      <c r="D28">
        <f>IFERROR(VLOOKUP(A28,Sheet1!A:D,4,FALSE),0)</f>
        <v>0</v>
      </c>
      <c r="E28">
        <f t="shared" si="0"/>
        <v>36</v>
      </c>
      <c r="F28" s="5" t="str">
        <f t="shared" si="1"/>
        <v>Missing</v>
      </c>
      <c r="G28" s="10" t="str">
        <f>IFERROR(IF(B28=VLOOKUP(A28,Sheet1!A:C,3,FALSE),"Correct Location","Misplaced"),"Not Found Data")</f>
        <v>Not Found Data</v>
      </c>
      <c r="H28" s="7" t="str">
        <f t="shared" si="2"/>
        <v>System Issue</v>
      </c>
      <c r="I28" s="10" t="str">
        <f t="shared" si="3"/>
        <v>DY19</v>
      </c>
    </row>
    <row r="29" spans="1:9" x14ac:dyDescent="0.3">
      <c r="A29" s="5">
        <v>4179602853</v>
      </c>
      <c r="B29" s="5" t="s">
        <v>75</v>
      </c>
      <c r="C29">
        <f>IFERROR(VLOOKUP(A29,Sheet2!B:E,4,FALSE),0)</f>
        <v>22</v>
      </c>
      <c r="D29">
        <f>IFERROR(VLOOKUP(A29,Sheet1!A:D,4,FALSE),0)</f>
        <v>91</v>
      </c>
      <c r="E29">
        <f t="shared" si="0"/>
        <v>-69</v>
      </c>
      <c r="F29" s="5" t="str">
        <f t="shared" si="1"/>
        <v>Extra</v>
      </c>
      <c r="G29" s="10" t="str">
        <f>IFERROR(IF(B29=VLOOKUP(A29,Sheet1!A:C,3,FALSE),"Correct Location","Misplaced"),"Not Found Data")</f>
        <v>Misplaced</v>
      </c>
      <c r="H29" s="7" t="str">
        <f t="shared" si="2"/>
        <v>Excess Inventory</v>
      </c>
      <c r="I29" s="10" t="str">
        <f t="shared" si="3"/>
        <v>DY01</v>
      </c>
    </row>
    <row r="30" spans="1:9" x14ac:dyDescent="0.3">
      <c r="A30" s="5">
        <v>2489073516</v>
      </c>
      <c r="B30" s="5" t="s">
        <v>76</v>
      </c>
      <c r="C30">
        <f>IFERROR(VLOOKUP(A30,Sheet2!B:E,4,FALSE),0)</f>
        <v>55</v>
      </c>
      <c r="D30">
        <f>IFERROR(VLOOKUP(A30,Sheet1!A:D,4,FALSE),0)</f>
        <v>0</v>
      </c>
      <c r="E30">
        <f t="shared" si="0"/>
        <v>55</v>
      </c>
      <c r="F30" s="5" t="str">
        <f t="shared" si="1"/>
        <v>Missing</v>
      </c>
      <c r="G30" s="10" t="str">
        <f>IFERROR(IF(B30=VLOOKUP(A30,Sheet1!A:C,3,FALSE),"Correct Location","Misplaced"),"Not Found Data")</f>
        <v>Not Found Data</v>
      </c>
      <c r="H30" s="7" t="str">
        <f t="shared" si="2"/>
        <v>System Issue</v>
      </c>
      <c r="I30" s="10" t="str">
        <f t="shared" si="3"/>
        <v>DY07</v>
      </c>
    </row>
    <row r="31" spans="1:9" x14ac:dyDescent="0.3">
      <c r="A31" s="5">
        <v>4821903765</v>
      </c>
      <c r="B31" s="5" t="s">
        <v>77</v>
      </c>
      <c r="C31">
        <f>IFERROR(VLOOKUP(A31,Sheet2!B:E,4,FALSE),0)</f>
        <v>35</v>
      </c>
      <c r="D31">
        <f>IFERROR(VLOOKUP(A31,Sheet1!A:D,4,FALSE),0)</f>
        <v>0</v>
      </c>
      <c r="E31">
        <f t="shared" si="0"/>
        <v>35</v>
      </c>
      <c r="F31" s="5" t="str">
        <f t="shared" si="1"/>
        <v>Missing</v>
      </c>
      <c r="G31" s="10" t="str">
        <f>IFERROR(IF(B31=VLOOKUP(A31,Sheet1!A:C,3,FALSE),"Correct Location","Misplaced"),"Not Found Data")</f>
        <v>Not Found Data</v>
      </c>
      <c r="H31" s="7" t="str">
        <f t="shared" si="2"/>
        <v>System Issue</v>
      </c>
      <c r="I31" s="10" t="str">
        <f t="shared" si="3"/>
        <v>DY05</v>
      </c>
    </row>
    <row r="32" spans="1:9" x14ac:dyDescent="0.3">
      <c r="A32" s="5">
        <v>8241905376</v>
      </c>
      <c r="B32" s="5" t="s">
        <v>78</v>
      </c>
      <c r="C32">
        <f>IFERROR(VLOOKUP(A32,Sheet2!B:E,4,FALSE),0)</f>
        <v>54</v>
      </c>
      <c r="D32">
        <f>IFERROR(VLOOKUP(A32,Sheet1!A:D,4,FALSE),0)</f>
        <v>0</v>
      </c>
      <c r="E32">
        <f t="shared" si="0"/>
        <v>54</v>
      </c>
      <c r="F32" s="5" t="str">
        <f t="shared" si="1"/>
        <v>Missing</v>
      </c>
      <c r="G32" s="10" t="str">
        <f>IFERROR(IF(B32=VLOOKUP(A32,Sheet1!A:C,3,FALSE),"Correct Location","Misplaced"),"Not Found Data")</f>
        <v>Not Found Data</v>
      </c>
      <c r="H32" s="7" t="str">
        <f t="shared" si="2"/>
        <v>System Issue</v>
      </c>
      <c r="I32" s="10" t="str">
        <f t="shared" si="3"/>
        <v>DY06</v>
      </c>
    </row>
    <row r="33" spans="1:9" x14ac:dyDescent="0.3">
      <c r="A33" s="5">
        <v>4193057862</v>
      </c>
      <c r="B33" s="5" t="s">
        <v>79</v>
      </c>
      <c r="C33">
        <f>IFERROR(VLOOKUP(A33,Sheet2!B:E,4,FALSE),0)</f>
        <v>85</v>
      </c>
      <c r="D33">
        <f>IFERROR(VLOOKUP(A33,Sheet1!A:D,4,FALSE),0)</f>
        <v>0</v>
      </c>
      <c r="E33">
        <f t="shared" si="0"/>
        <v>85</v>
      </c>
      <c r="F33" s="5" t="str">
        <f t="shared" si="1"/>
        <v>Missing</v>
      </c>
      <c r="G33" s="10" t="str">
        <f>IFERROR(IF(B33=VLOOKUP(A33,Sheet1!A:C,3,FALSE),"Correct Location","Misplaced"),"Not Found Data")</f>
        <v>Not Found Data</v>
      </c>
      <c r="H33" s="7" t="str">
        <f t="shared" si="2"/>
        <v>System Issue</v>
      </c>
      <c r="I33" s="10" t="str">
        <f t="shared" si="3"/>
        <v>DY08</v>
      </c>
    </row>
    <row r="34" spans="1:9" x14ac:dyDescent="0.3">
      <c r="A34" s="5">
        <v>2483610975</v>
      </c>
      <c r="B34" s="5" t="s">
        <v>80</v>
      </c>
      <c r="C34" s="7">
        <f>IFERROR(VLOOKUP(A34,Sheet2!B:E,4,FALSE),0)</f>
        <v>40</v>
      </c>
      <c r="D34" s="7">
        <f>IFERROR(VLOOKUP(A34,Sheet1!A:D,4,FALSE),0)</f>
        <v>4</v>
      </c>
      <c r="E34">
        <f t="shared" si="0"/>
        <v>36</v>
      </c>
      <c r="F34" s="5" t="str">
        <f t="shared" si="1"/>
        <v>Short</v>
      </c>
      <c r="G34" s="10" t="str">
        <f>IFERROR(IF(B34=VLOOKUP(A34,Sheet1!A:C,3,FALSE),"Correct Location","Misplaced"),"Not Found Data")</f>
        <v>Misplaced</v>
      </c>
      <c r="H34" s="7" t="str">
        <f t="shared" si="2"/>
        <v>Location Error</v>
      </c>
      <c r="I34" s="10" t="str">
        <f t="shared" si="3"/>
        <v>DY01</v>
      </c>
    </row>
    <row r="35" spans="1:9" x14ac:dyDescent="0.3">
      <c r="A35" s="5">
        <v>8237164095</v>
      </c>
      <c r="B35" s="5" t="s">
        <v>81</v>
      </c>
      <c r="C35" s="7">
        <f>IFERROR(VLOOKUP(A35,Sheet2!B:E,4,FALSE),0)</f>
        <v>45</v>
      </c>
      <c r="D35" s="7">
        <f>IFERROR(VLOOKUP(A35,Sheet1!A:D,4,FALSE),0)</f>
        <v>0</v>
      </c>
      <c r="E35">
        <f t="shared" si="0"/>
        <v>45</v>
      </c>
      <c r="F35" s="5" t="str">
        <f t="shared" si="1"/>
        <v>Missing</v>
      </c>
      <c r="G35" s="10" t="str">
        <f>IFERROR(IF(B35=VLOOKUP(A35,Sheet1!A:C,3,FALSE),"Correct Location","Misplaced"),"Not Found Data")</f>
        <v>Not Found Data</v>
      </c>
      <c r="H35" s="7" t="str">
        <f t="shared" si="2"/>
        <v>System Issue</v>
      </c>
      <c r="I35" s="10" t="str">
        <f t="shared" si="3"/>
        <v>DY36</v>
      </c>
    </row>
    <row r="36" spans="1:9" x14ac:dyDescent="0.3">
      <c r="A36" s="5">
        <v>4172936508</v>
      </c>
      <c r="B36" s="5" t="s">
        <v>82</v>
      </c>
      <c r="C36" s="7">
        <f>IFERROR(VLOOKUP(A36,Sheet2!B:E,4,FALSE),0)</f>
        <v>15</v>
      </c>
      <c r="D36" s="7">
        <f>IFERROR(VLOOKUP(A36,Sheet1!A:D,4,FALSE),0)</f>
        <v>0</v>
      </c>
      <c r="E36">
        <f t="shared" si="0"/>
        <v>15</v>
      </c>
      <c r="F36" s="5" t="str">
        <f t="shared" si="1"/>
        <v>Missing</v>
      </c>
      <c r="G36" s="10" t="str">
        <f>IFERROR(IF(B36=VLOOKUP(A36,Sheet1!A:C,3,FALSE),"Correct Location","Misplaced"),"Not Found Data")</f>
        <v>Not Found Data</v>
      </c>
      <c r="H36" s="7" t="str">
        <f t="shared" si="2"/>
        <v>System Issue</v>
      </c>
      <c r="I36" s="10" t="str">
        <f t="shared" si="3"/>
        <v>DY19</v>
      </c>
    </row>
    <row r="37" spans="1:9" x14ac:dyDescent="0.3">
      <c r="A37" s="5">
        <v>2495731068</v>
      </c>
      <c r="B37" s="5" t="s">
        <v>83</v>
      </c>
      <c r="C37" s="7">
        <f>IFERROR(VLOOKUP(A37,Sheet2!B:E,4,FALSE),0)</f>
        <v>18</v>
      </c>
      <c r="D37" s="7">
        <f>IFERROR(VLOOKUP(A37,Sheet1!A:D,4,FALSE),0)</f>
        <v>0</v>
      </c>
      <c r="E37">
        <f t="shared" si="0"/>
        <v>18</v>
      </c>
      <c r="F37" s="5" t="str">
        <f t="shared" si="1"/>
        <v>Missing</v>
      </c>
      <c r="G37" s="10" t="str">
        <f>IFERROR(IF(B37=VLOOKUP(A37,Sheet1!A:C,3,FALSE),"Correct Location","Misplaced"),"Not Found Data")</f>
        <v>Not Found Data</v>
      </c>
      <c r="H37" s="7" t="str">
        <f t="shared" si="2"/>
        <v>System Issue</v>
      </c>
      <c r="I37" s="10" t="str">
        <f t="shared" si="3"/>
        <v>DY01</v>
      </c>
    </row>
    <row r="38" spans="1:9" x14ac:dyDescent="0.3">
      <c r="A38" s="5">
        <v>4827169054</v>
      </c>
      <c r="B38" s="5" t="s">
        <v>84</v>
      </c>
      <c r="C38" s="7">
        <f>IFERROR(VLOOKUP(A38,Sheet2!B:E,4,FALSE),0)</f>
        <v>4</v>
      </c>
      <c r="D38" s="7">
        <f>IFERROR(VLOOKUP(A38,Sheet1!A:D,4,FALSE),0)</f>
        <v>0</v>
      </c>
      <c r="E38">
        <f t="shared" si="0"/>
        <v>4</v>
      </c>
      <c r="F38" s="5" t="str">
        <f t="shared" si="1"/>
        <v>Missing</v>
      </c>
      <c r="G38" s="10" t="str">
        <f>IFERROR(IF(B38=VLOOKUP(A38,Sheet1!A:C,3,FALSE),"Correct Location","Misplaced"),"Not Found Data")</f>
        <v>Not Found Data</v>
      </c>
      <c r="H38" s="7" t="str">
        <f t="shared" si="2"/>
        <v>System Issue</v>
      </c>
      <c r="I38" s="10" t="str">
        <f t="shared" si="3"/>
        <v>DY07</v>
      </c>
    </row>
    <row r="39" spans="1:9" x14ac:dyDescent="0.3">
      <c r="A39" s="5">
        <v>8243509717</v>
      </c>
      <c r="B39" s="5" t="s">
        <v>85</v>
      </c>
      <c r="C39" s="7">
        <f>IFERROR(VLOOKUP(A39,Sheet2!B:E,4,FALSE),0)</f>
        <v>8</v>
      </c>
      <c r="D39" s="7">
        <f>IFERROR(VLOOKUP(A39,Sheet1!A:D,4,FALSE),0)</f>
        <v>0</v>
      </c>
      <c r="E39">
        <f t="shared" si="0"/>
        <v>8</v>
      </c>
      <c r="F39" s="5" t="str">
        <f t="shared" si="1"/>
        <v>Missing</v>
      </c>
      <c r="G39" s="10" t="str">
        <f>IFERROR(IF(B39=VLOOKUP(A39,Sheet1!A:C,3,FALSE),"Correct Location","Misplaced"),"Not Found Data")</f>
        <v>Not Found Data</v>
      </c>
      <c r="H39" s="7" t="str">
        <f t="shared" si="2"/>
        <v>System Issue</v>
      </c>
      <c r="I39" s="10" t="str">
        <f t="shared" si="3"/>
        <v>DY05</v>
      </c>
    </row>
    <row r="43" spans="1:9" ht="23.4" thickBot="1" x14ac:dyDescent="0.5">
      <c r="A43" s="31" t="s">
        <v>121</v>
      </c>
      <c r="B43" s="31"/>
    </row>
    <row r="44" spans="1:9" ht="18" x14ac:dyDescent="0.35">
      <c r="A44" s="19" t="s">
        <v>117</v>
      </c>
      <c r="B44" s="13">
        <f>COUNTIF(F6:F100,"Missing")</f>
        <v>16</v>
      </c>
    </row>
    <row r="45" spans="1:9" ht="18" x14ac:dyDescent="0.35">
      <c r="A45" s="14" t="s">
        <v>118</v>
      </c>
      <c r="B45" s="15">
        <f>COUNTIF(F6:F100,"Extra")</f>
        <v>7</v>
      </c>
    </row>
    <row r="46" spans="1:9" ht="18" x14ac:dyDescent="0.35">
      <c r="A46" s="14" t="s">
        <v>119</v>
      </c>
      <c r="B46" s="15">
        <f>COUNTIF(F6:F100,"Short")</f>
        <v>9</v>
      </c>
    </row>
    <row r="47" spans="1:9" ht="18.600000000000001" thickBot="1" x14ac:dyDescent="0.4">
      <c r="A47" s="18" t="s">
        <v>120</v>
      </c>
      <c r="B47" s="17">
        <f>COUNTIF(F6:F100,"Matched")</f>
        <v>2</v>
      </c>
    </row>
    <row r="48" spans="1:9" ht="15" thickBot="1" x14ac:dyDescent="0.35"/>
    <row r="49" spans="1:2" ht="18" x14ac:dyDescent="0.35">
      <c r="A49" s="12" t="s">
        <v>124</v>
      </c>
      <c r="B49" s="20" t="s">
        <v>122</v>
      </c>
    </row>
    <row r="50" spans="1:2" ht="18.600000000000001" thickBot="1" x14ac:dyDescent="0.4">
      <c r="A50" s="16" t="s">
        <v>125</v>
      </c>
      <c r="B50" s="21">
        <v>32</v>
      </c>
    </row>
  </sheetData>
  <mergeCells count="2">
    <mergeCell ref="A1:J3"/>
    <mergeCell ref="A43:B43"/>
  </mergeCells>
  <conditionalFormatting sqref="B44:B4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{81B51612-DDF7-452E-A653-8E38E06AE0FE}</x14:id>
        </ext>
      </extLst>
    </cfRule>
  </conditionalFormatting>
  <conditionalFormatting sqref="A49:B5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{5D218AE0-FC8B-4CB8-8938-EDFF4FB7FDE3}</x14:id>
        </ext>
      </extLst>
    </cfRule>
  </conditionalFormatting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B51612-DDF7-452E-A653-8E38E06AE0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B44:B47</xm:sqref>
        </x14:conditionalFormatting>
        <x14:conditionalFormatting xmlns:xm="http://schemas.microsoft.com/office/excel/2006/main">
          <x14:cfRule type="dataBar" id="{5D218AE0-FC8B-4CB8-8938-EDFF4FB7FD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A49:B50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2026-03-27T23:01:30Z</dcterms:modified>
</cp:coreProperties>
</file>